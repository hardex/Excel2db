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visainc.sharepoint.com/sites/Internal-GlobalMMBPOGroup/Shared Documents/General/10_VD Data, Analytics and Insight planner/1. Project Management/2. Projects/Globbery/Input files/"/>
    </mc:Choice>
  </mc:AlternateContent>
  <xr:revisionPtr revIDLastSave="0" documentId="8_{2304B3C1-B572-41A5-9AD3-BDFD2C2294F5}" xr6:coauthVersionLast="47" xr6:coauthVersionMax="47" xr10:uidLastSave="{00000000-0000-0000-0000-000000000000}"/>
  <bookViews>
    <workbookView xWindow="-108" yWindow="-108" windowWidth="23256" windowHeight="13896" xr2:uid="{E34F13B3-9EDF-4BCD-861B-EF688D610448}"/>
  </bookViews>
  <sheets>
    <sheet name="Intro" sheetId="1" r:id="rId1"/>
    <sheet name="Inputs" sheetId="2" r:id="rId2"/>
    <sheet name="P&amp;L" sheetId="3" r:id="rId3"/>
  </sheets>
  <externalReferences>
    <externalReference r:id="rId4"/>
    <externalReference r:id="rId5"/>
  </externalReferences>
  <definedNames>
    <definedName name="___________AUS1" hidden="1">{"february96",#N/A,FALSE,"report"}</definedName>
    <definedName name="_________AUS1" hidden="1">{"february96",#N/A,FALSE,"report"}</definedName>
    <definedName name="________AUS1" hidden="1">{"february96",#N/A,FALSE,"report"}</definedName>
    <definedName name="_______AUS1" hidden="1">{"february96",#N/A,FALSE,"report"}</definedName>
    <definedName name="______AUS1" hidden="1">{"february96",#N/A,FALSE,"report"}</definedName>
    <definedName name="_____AUS1" hidden="1">{"february96",#N/A,FALSE,"report"}</definedName>
    <definedName name="____AUS1" hidden="1">{"february96",#N/A,FALSE,"report"}</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PL4" hidden="1">{#N/A,#N/A,FALSE,"Report Data";#N/A,#N/A,FALSE,"COMP POOL";#N/A,#N/A,FALSE,"COMP POOL NB95";#N/A,#N/A,FALSE,"COMP POOL NB94"}</definedName>
    <definedName name="_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AUS1" hidden="1">{"february96",#N/A,FALSE,"report"}</definedName>
    <definedName name="___juk7" hidden="1">#REF!</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PL4" hidden="1">{#N/A,#N/A,FALSE,"Report Data";#N/A,#N/A,FALSE,"COMP POOL";#N/A,#N/A,FALSE,"COMP POOL NB95";#N/A,#N/A,FALSE,"COMP POOL NB94"}</definedName>
    <definedName name="_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1__123Graph_ACHART_1" hidden="1">#REF!</definedName>
    <definedName name="__10__123Graph_ACHART_3" hidden="1">#REF!</definedName>
    <definedName name="__100__123Graph_XCHART_16" hidden="1">#REF!</definedName>
    <definedName name="__101__123Graph_XCHART_17" hidden="1">#REF!</definedName>
    <definedName name="__102__123Graph_XCHART_18" hidden="1">#REF!</definedName>
    <definedName name="__103__123Graph_XCHART_2" hidden="1">#REF!</definedName>
    <definedName name="__104__123Graph_XCHART_26" hidden="1">#REF!</definedName>
    <definedName name="__105__123Graph_XCHART_27" hidden="1">#REF!</definedName>
    <definedName name="__106__123Graph_XCHART_29" hidden="1">#REF!</definedName>
    <definedName name="__107__123Graph_XCHART_3" hidden="1">#REF!</definedName>
    <definedName name="__108__123Graph_XCHART_30" hidden="1">#REF!</definedName>
    <definedName name="__109__123Graph_XCHART_31" hidden="1">#REF!</definedName>
    <definedName name="__11__123Graph_ACHART_30" hidden="1">#REF!</definedName>
    <definedName name="__110__123Graph_XCHART_32" hidden="1">#REF!</definedName>
    <definedName name="__111__123Graph_XCHART_33" hidden="1">#REF!</definedName>
    <definedName name="__112__123Graph_XCHART_34" hidden="1">#REF!</definedName>
    <definedName name="__113__123Graph_XCHART_35" hidden="1">#REF!</definedName>
    <definedName name="__114__123Graph_XCHART_36" hidden="1">#REF!</definedName>
    <definedName name="__115__123Graph_XCHART_37" hidden="1">#REF!</definedName>
    <definedName name="__116__123Graph_XCHART_38" hidden="1">#REF!</definedName>
    <definedName name="__117__123Graph_XCHART_39" hidden="1">#REF!</definedName>
    <definedName name="__118__123Graph_XCHART_4" hidden="1">#REF!</definedName>
    <definedName name="__119__123Graph_XCHART_40" hidden="1">#REF!</definedName>
    <definedName name="__12__123Graph_ACHART_31" hidden="1">#REF!</definedName>
    <definedName name="__120__123Graph_XCHART_41" hidden="1">#REF!</definedName>
    <definedName name="__121__123Graph_XCHART_42" hidden="1">#REF!</definedName>
    <definedName name="__122__123Graph_XCHART_43" hidden="1">#REF!</definedName>
    <definedName name="__123__123Graph_XCHART_44" hidden="1">#REF!</definedName>
    <definedName name="__123Graph_A" hidden="1">#REF!</definedName>
    <definedName name="__123Graph_B" hidden="1">#REF!</definedName>
    <definedName name="__123Graph_D" hidden="1">#REF!</definedName>
    <definedName name="__123Graph_LBL_A" hidden="1">#REF!</definedName>
    <definedName name="__123Graph_LBL_B" hidden="1">#REF!</definedName>
    <definedName name="__123Graph_X" hidden="1">#REF!</definedName>
    <definedName name="__124__123Graph_XCHART_45" hidden="1">#REF!</definedName>
    <definedName name="__125__123Graph_XCHART_46" hidden="1">#REF!</definedName>
    <definedName name="__126__123Graph_XCHART_47" hidden="1">#REF!</definedName>
    <definedName name="__127__123Graph_XCHART_48" hidden="1">#REF!</definedName>
    <definedName name="__128__123Graph_XCHART_5" hidden="1">#REF!</definedName>
    <definedName name="__129__123Graph_XCHART_6" hidden="1">#REF!</definedName>
    <definedName name="__13__123Graph_ACHART_32" hidden="1">#REF!</definedName>
    <definedName name="__14__123Graph_ACHART_33" hidden="1">#REF!</definedName>
    <definedName name="__15__123Graph_ACHART_34" hidden="1">#REF!</definedName>
    <definedName name="__16__123Graph_ACHART_35" hidden="1">#REF!</definedName>
    <definedName name="__17__123Graph_ACHART_36" hidden="1">#REF!</definedName>
    <definedName name="__18__123Graph_ACHART_37" hidden="1">#REF!</definedName>
    <definedName name="__19__123Graph_ACHART_38" hidden="1">#REF!</definedName>
    <definedName name="__2__123Graph_ACHART_13" hidden="1">#REF!</definedName>
    <definedName name="__20__123Graph_ACHART_39" hidden="1">#REF!</definedName>
    <definedName name="__21__123Graph_ACHART_4" hidden="1">#REF!</definedName>
    <definedName name="__22__123Graph_ACHART_40" hidden="1">#REF!</definedName>
    <definedName name="__23__123Graph_ACHART_41" hidden="1">#REF!</definedName>
    <definedName name="__24__123Graph_ACHART_42" hidden="1">#REF!</definedName>
    <definedName name="__25__123Graph_ACHART_43" hidden="1">#REF!</definedName>
    <definedName name="__26__123Graph_ACHART_44" hidden="1">#REF!</definedName>
    <definedName name="__27__123Graph_ACHART_45" hidden="1">#REF!</definedName>
    <definedName name="__28__123Graph_ACHART_46" hidden="1">#REF!</definedName>
    <definedName name="__29__123Graph_ACHART_47" hidden="1">#REF!</definedName>
    <definedName name="__3__123Graph_ACHART_14" hidden="1">#REF!</definedName>
    <definedName name="__30__123Graph_ACHART_48" hidden="1">#REF!</definedName>
    <definedName name="__31__123Graph_ACHART_5" hidden="1">#REF!</definedName>
    <definedName name="__32__123Graph_ACHART_6" hidden="1">#REF!</definedName>
    <definedName name="__33__123Graph_BCHART_1" hidden="1">#REF!</definedName>
    <definedName name="__34__123Graph_BCHART_13" hidden="1">#REF!</definedName>
    <definedName name="__35__123Graph_BCHART_14" hidden="1">#REF!</definedName>
    <definedName name="__36__123Graph_BCHART_16" hidden="1">#REF!</definedName>
    <definedName name="__37__123Graph_BCHART_17" hidden="1">#REF!</definedName>
    <definedName name="__38__123Graph_BCHART_18" hidden="1">#REF!</definedName>
    <definedName name="__39__123Graph_BCHART_2" hidden="1">#REF!</definedName>
    <definedName name="__4__123Graph_ACHART_15" hidden="1">#REF!</definedName>
    <definedName name="__40__123Graph_BCHART_26" hidden="1">#REF!</definedName>
    <definedName name="__41__123Graph_BCHART_27" hidden="1">#REF!</definedName>
    <definedName name="__42__123Graph_BCHART_3" hidden="1">#REF!</definedName>
    <definedName name="__43__123Graph_BCHART_31" hidden="1">#REF!</definedName>
    <definedName name="__44__123Graph_BCHART_32" hidden="1">#REF!</definedName>
    <definedName name="__45__123Graph_BCHART_33" hidden="1">#REF!</definedName>
    <definedName name="__46__123Graph_BCHART_34" hidden="1">#REF!</definedName>
    <definedName name="__47__123Graph_BCHART_35" hidden="1">#REF!</definedName>
    <definedName name="__48__123Graph_BCHART_36" hidden="1">#REF!</definedName>
    <definedName name="__49__123Graph_BCHART_37" hidden="1">#REF!</definedName>
    <definedName name="__5__123Graph_ACHART_2" hidden="1">#REF!</definedName>
    <definedName name="__50__123Graph_BCHART_38" hidden="1">#REF!</definedName>
    <definedName name="__51__123Graph_BCHART_39" hidden="1">#REF!</definedName>
    <definedName name="__52__123Graph_BCHART_4" hidden="1">#REF!</definedName>
    <definedName name="__53__123Graph_BCHART_40" hidden="1">#REF!</definedName>
    <definedName name="__54__123Graph_BCHART_41" hidden="1">#REF!</definedName>
    <definedName name="__55__123Graph_BCHART_42" hidden="1">#REF!</definedName>
    <definedName name="__56__123Graph_BCHART_5" hidden="1">#REF!</definedName>
    <definedName name="__57__123Graph_BCHART_6" hidden="1">#REF!</definedName>
    <definedName name="__58__123Graph_CCHART_1" hidden="1">#REF!</definedName>
    <definedName name="__59__123Graph_CCHART_2" hidden="1">#REF!</definedName>
    <definedName name="__6__123Graph_ACHART_26" hidden="1">#REF!</definedName>
    <definedName name="__60__123Graph_CCHART_3" hidden="1">#REF!</definedName>
    <definedName name="__61__123Graph_CCHART_4" hidden="1">#REF!</definedName>
    <definedName name="__62__123Graph_CCHART_5" hidden="1">#REF!</definedName>
    <definedName name="__63__123Graph_CCHART_6" hidden="1">#REF!</definedName>
    <definedName name="__64__123Graph_DCHART_4" hidden="1">#REF!</definedName>
    <definedName name="__65__123Graph_ECHART_4" hidden="1">#REF!</definedName>
    <definedName name="__66__123Graph_FCHART_4" hidden="1">#REF!</definedName>
    <definedName name="__67__123Graph_LBL_ACHART_13" hidden="1">#REF!</definedName>
    <definedName name="__68__123Graph_LBL_ACHART_15" hidden="1">#REF!</definedName>
    <definedName name="__69__123Graph_LBL_ACHART_16" hidden="1">#REF!</definedName>
    <definedName name="__7__123Graph_ACHART_27" hidden="1">#REF!</definedName>
    <definedName name="__70__123Graph_LBL_ACHART_17" hidden="1">#REF!</definedName>
    <definedName name="__71__123Graph_LBL_ACHART_18" hidden="1">#REF!</definedName>
    <definedName name="__72__123Graph_LBL_ACHART_27" hidden="1">#REF!</definedName>
    <definedName name="__73__123Graph_LBL_ACHART_31" hidden="1">#REF!</definedName>
    <definedName name="__74__123Graph_LBL_ACHART_33" hidden="1">#REF!</definedName>
    <definedName name="__75__123Graph_LBL_ACHART_34" hidden="1">#REF!</definedName>
    <definedName name="__76__123Graph_LBL_ACHART_35" hidden="1">#REF!</definedName>
    <definedName name="__77__123Graph_LBL_ACHART_36" hidden="1">#REF!</definedName>
    <definedName name="__78__123Graph_LBL_ACHART_37" hidden="1">#REF!</definedName>
    <definedName name="__79__123Graph_LBL_ACHART_39" hidden="1">#REF!</definedName>
    <definedName name="__8__123Graph_ACHART_28" hidden="1">#REF!</definedName>
    <definedName name="__80__123Graph_LBL_ACHART_43" hidden="1">#REF!</definedName>
    <definedName name="__81__123Graph_LBL_ACHART_45" hidden="1">#REF!</definedName>
    <definedName name="__82__123Graph_LBL_BCHART_13" hidden="1">#REF!</definedName>
    <definedName name="__83__123Graph_LBL_BCHART_15" hidden="1">#REF!</definedName>
    <definedName name="__84__123Graph_LBL_BCHART_16" hidden="1">#REF!</definedName>
    <definedName name="__85__123Graph_LBL_BCHART_17" hidden="1">#REF!</definedName>
    <definedName name="__86__123Graph_LBL_BCHART_18" hidden="1">#REF!</definedName>
    <definedName name="__87__123Graph_LBL_BCHART_27" hidden="1">#REF!</definedName>
    <definedName name="__88__123Graph_LBL_BCHART_31" hidden="1">#REF!</definedName>
    <definedName name="__89__123Graph_LBL_BCHART_33" hidden="1">#REF!</definedName>
    <definedName name="__9__123Graph_ACHART_29" hidden="1">#REF!</definedName>
    <definedName name="__90__123Graph_LBL_BCHART_34" hidden="1">#REF!</definedName>
    <definedName name="__91__123Graph_LBL_BCHART_35" hidden="1">#REF!</definedName>
    <definedName name="__92__123Graph_LBL_BCHART_36" hidden="1">#REF!</definedName>
    <definedName name="__93__123Graph_LBL_BCHART_37" hidden="1">#REF!</definedName>
    <definedName name="__94__123Graph_LBL_BCHART_39" hidden="1">#REF!</definedName>
    <definedName name="__95__123Graph_LBL_BCHART_43" hidden="1">#REF!</definedName>
    <definedName name="__96__123Graph_XCHART_1" hidden="1">#REF!</definedName>
    <definedName name="__97__123Graph_XCHART_13" hidden="1">#REF!</definedName>
    <definedName name="__98__123Graph_XCHART_14" hidden="1">#REF!</definedName>
    <definedName name="__99__123Graph_XCHART_15" hidden="1">#REF!</definedName>
    <definedName name="__AUS1" hidden="1">{"february96",#N/A,FALSE,"report"}</definedName>
    <definedName name="__DSAuthor" hidden="1">"Simon Haslam"</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FDS_HYPERLINK_TOGGLE_STATE__" hidden="1">"ON"</definedName>
    <definedName name="__IntlFixup" hidden="1">TRUE</definedName>
    <definedName name="__juk7" hidden="1">#REF!</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4" hidden="1">{#N/A,#N/A,FALSE,"Report Data";#N/A,#N/A,FALSE,"COMP POOL";#N/A,#N/A,FALSE,"COMP POOL NB95";#N/A,#N/A,FALSE,"COMP POOL NB94"}</definedName>
    <definedName name="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xlfn.BAHTTEXT" hidden="1">#NAME?</definedName>
    <definedName name="_1__123Graph_ACHART_1" hidden="1">#REF!</definedName>
    <definedName name="_10__123Graph_ACHART_3" hidden="1">#REF!</definedName>
    <definedName name="_100__123Graph_XCHART_16" hidden="1">#REF!</definedName>
    <definedName name="_101__123Graph_XCHART_17" hidden="1">#REF!</definedName>
    <definedName name="_102__123Graph_XCHART_18" hidden="1">#REF!</definedName>
    <definedName name="_103__123Graph_XCHART_2" hidden="1">#REF!</definedName>
    <definedName name="_104__123Graph_XCHART_26" hidden="1">#REF!</definedName>
    <definedName name="_105__123Graph_XCHART_27" hidden="1">#REF!</definedName>
    <definedName name="_106__123Graph_XCHART_29" hidden="1">#REF!</definedName>
    <definedName name="_107__123Graph_XCHART_3" hidden="1">#REF!</definedName>
    <definedName name="_108__123Graph_XCHART_30" hidden="1">#REF!</definedName>
    <definedName name="_109__123Graph_XCHART_31" hidden="1">#REF!</definedName>
    <definedName name="_11__123Graph_ACHART_30" hidden="1">#REF!</definedName>
    <definedName name="_110__123Graph_XCHART_32" hidden="1">#REF!</definedName>
    <definedName name="_111__123Graph_XCHART_33" hidden="1">#REF!</definedName>
    <definedName name="_112__123Graph_XCHART_34" hidden="1">#REF!</definedName>
    <definedName name="_113__123Graph_XCHART_35" hidden="1">#REF!</definedName>
    <definedName name="_114__123Graph_XCHART_36" hidden="1">#REF!</definedName>
    <definedName name="_115__123Graph_XCHART_37" hidden="1">#REF!</definedName>
    <definedName name="_116__123Graph_XCHART_38" hidden="1">#REF!</definedName>
    <definedName name="_117__123Graph_XCHART_39" hidden="1">#REF!</definedName>
    <definedName name="_118__123Graph_XCHART_4" hidden="1">#REF!</definedName>
    <definedName name="_119__123Graph_XCHART_40" hidden="1">#REF!</definedName>
    <definedName name="_12__123Graph_ACHART_31" hidden="1">#REF!</definedName>
    <definedName name="_120__123Graph_XCHART_41" hidden="1">#REF!</definedName>
    <definedName name="_121__123Graph_XCHART_42" hidden="1">#REF!</definedName>
    <definedName name="_122__123Graph_XCHART_43" hidden="1">#REF!</definedName>
    <definedName name="_123__123Graph_XCHART_44" hidden="1">#REF!</definedName>
    <definedName name="_124__123Graph_XCHART_45" hidden="1">#REF!</definedName>
    <definedName name="_125__123Graph_XCHART_46" hidden="1">#REF!</definedName>
    <definedName name="_126__123Graph_XCHART_47" hidden="1">#REF!</definedName>
    <definedName name="_127__123Graph_XCHART_48" hidden="1">#REF!</definedName>
    <definedName name="_128__123Graph_XCHART_5" hidden="1">#REF!</definedName>
    <definedName name="_129__123Graph_XCHART_6" hidden="1">#REF!</definedName>
    <definedName name="_13__123Graph_ACHART_32" hidden="1">#REF!</definedName>
    <definedName name="_14__123Graph_ACHART_33" hidden="1">#REF!</definedName>
    <definedName name="_15__123Graph_ACHART_34" hidden="1">#REF!</definedName>
    <definedName name="_16__123Graph_ACHART_35" hidden="1">#REF!</definedName>
    <definedName name="_17__123Graph_ACHART_36" hidden="1">#REF!</definedName>
    <definedName name="_18__123Graph_ACHART_37" hidden="1">#REF!</definedName>
    <definedName name="_19__123Graph_ACHART_38" hidden="1">#REF!</definedName>
    <definedName name="_2__123Graph_ACHART_13" hidden="1">#REF!</definedName>
    <definedName name="_20__123Graph_ACHART_39" hidden="1">#REF!</definedName>
    <definedName name="_21__123Graph_ACHART_4" hidden="1">#REF!</definedName>
    <definedName name="_22__123Graph_ACHART_40" hidden="1">#REF!</definedName>
    <definedName name="_23__123Graph_ACHART_41" hidden="1">#REF!</definedName>
    <definedName name="_24__123Graph_ACHART_42" hidden="1">#REF!</definedName>
    <definedName name="_25__123Graph_ACHART_43" hidden="1">#REF!</definedName>
    <definedName name="_26__123Graph_ACHART_44" hidden="1">#REF!</definedName>
    <definedName name="_27__123Graph_ACHART_45" hidden="1">#REF!</definedName>
    <definedName name="_28__123Graph_ACHART_46" hidden="1">#REF!</definedName>
    <definedName name="_29__123Graph_ACHART_47" hidden="1">#REF!</definedName>
    <definedName name="_3__123Graph_ACHART_14" hidden="1">#REF!</definedName>
    <definedName name="_30__123Graph_ACHART_48" hidden="1">#REF!</definedName>
    <definedName name="_31__123Graph_ACHART_5" hidden="1">#REF!</definedName>
    <definedName name="_32__123Graph_ACHART_6" hidden="1">#REF!</definedName>
    <definedName name="_33__123Graph_BCHART_1" hidden="1">#REF!</definedName>
    <definedName name="_34__123Graph_BCHART_13" hidden="1">#REF!</definedName>
    <definedName name="_35__123Graph_BCHART_14" hidden="1">#REF!</definedName>
    <definedName name="_36__123Graph_BCHART_16" hidden="1">#REF!</definedName>
    <definedName name="_37__123Graph_BCHART_17" hidden="1">#REF!</definedName>
    <definedName name="_38__123Graph_BCHART_18" hidden="1">#REF!</definedName>
    <definedName name="_39__123Graph_BCHART_2" hidden="1">#REF!</definedName>
    <definedName name="_4__123Graph_ACHART_15" hidden="1">#REF!</definedName>
    <definedName name="_40__123Graph_BCHART_26" hidden="1">#REF!</definedName>
    <definedName name="_41__123Graph_BCHART_27" hidden="1">#REF!</definedName>
    <definedName name="_42__123Graph_BCHART_3" hidden="1">#REF!</definedName>
    <definedName name="_43__123Graph_BCHART_31" hidden="1">#REF!</definedName>
    <definedName name="_44__123Graph_BCHART_32" hidden="1">#REF!</definedName>
    <definedName name="_45__123Graph_BCHART_33" hidden="1">#REF!</definedName>
    <definedName name="_46__123Graph_BCHART_34" hidden="1">#REF!</definedName>
    <definedName name="_47__123Graph_BCHART_35" hidden="1">#REF!</definedName>
    <definedName name="_48__123Graph_BCHART_36" hidden="1">#REF!</definedName>
    <definedName name="_49__123Graph_BCHART_37" hidden="1">#REF!</definedName>
    <definedName name="_5__123Graph_ACHART_2" hidden="1">#REF!</definedName>
    <definedName name="_50__123Graph_BCHART_38" hidden="1">#REF!</definedName>
    <definedName name="_51__123Graph_BCHART_39" hidden="1">#REF!</definedName>
    <definedName name="_52__123Graph_BCHART_4" hidden="1">#REF!</definedName>
    <definedName name="_53__123Graph_BCHART_40" hidden="1">#REF!</definedName>
    <definedName name="_54__123Graph_BCHART_41" hidden="1">#REF!</definedName>
    <definedName name="_55__123Graph_BCHART_42" hidden="1">#REF!</definedName>
    <definedName name="_56__123Graph_BCHART_5" hidden="1">#REF!</definedName>
    <definedName name="_57__123Graph_BCHART_6" hidden="1">#REF!</definedName>
    <definedName name="_58__123Graph_CCHART_1" hidden="1">#REF!</definedName>
    <definedName name="_59__123Graph_CCHART_2" hidden="1">#REF!</definedName>
    <definedName name="_6__123Graph_ACHART_26" hidden="1">#REF!</definedName>
    <definedName name="_60__123Graph_CCHART_3" hidden="1">#REF!</definedName>
    <definedName name="_61__123Graph_CCHART_4" hidden="1">#REF!</definedName>
    <definedName name="_62__123Graph_CCHART_5" hidden="1">#REF!</definedName>
    <definedName name="_63__123Graph_CCHART_6" hidden="1">#REF!</definedName>
    <definedName name="_64__123Graph_DCHART_4" hidden="1">#REF!</definedName>
    <definedName name="_65__123Graph_ECHART_4" hidden="1">#REF!</definedName>
    <definedName name="_66__123Graph_FCHART_4" hidden="1">#REF!</definedName>
    <definedName name="_67__123Graph_LBL_ACHART_13" hidden="1">#REF!</definedName>
    <definedName name="_68__123Graph_LBL_ACHART_15" hidden="1">#REF!</definedName>
    <definedName name="_69__123Graph_LBL_ACHART_16" hidden="1">#REF!</definedName>
    <definedName name="_7__123Graph_ACHART_27" hidden="1">#REF!</definedName>
    <definedName name="_70__123Graph_LBL_ACHART_17" hidden="1">#REF!</definedName>
    <definedName name="_71__123Graph_LBL_ACHART_18" hidden="1">#REF!</definedName>
    <definedName name="_72__123Graph_LBL_ACHART_27" hidden="1">#REF!</definedName>
    <definedName name="_73__123Graph_LBL_ACHART_31" hidden="1">#REF!</definedName>
    <definedName name="_74__123Graph_LBL_ACHART_33" hidden="1">#REF!</definedName>
    <definedName name="_75__123Graph_LBL_ACHART_34" hidden="1">#REF!</definedName>
    <definedName name="_76__123Graph_LBL_ACHART_35" hidden="1">#REF!</definedName>
    <definedName name="_77__123Graph_LBL_ACHART_36" hidden="1">#REF!</definedName>
    <definedName name="_78__123Graph_LBL_ACHART_37" hidden="1">#REF!</definedName>
    <definedName name="_79__123Graph_LBL_ACHART_39" hidden="1">#REF!</definedName>
    <definedName name="_8__123Graph_ACHART_28" hidden="1">#REF!</definedName>
    <definedName name="_80__123Graph_LBL_ACHART_43" hidden="1">#REF!</definedName>
    <definedName name="_81__123Graph_LBL_ACHART_45" hidden="1">#REF!</definedName>
    <definedName name="_82__123Graph_LBL_BCHART_13" hidden="1">#REF!</definedName>
    <definedName name="_83__123Graph_LBL_BCHART_15" hidden="1">#REF!</definedName>
    <definedName name="_84__123Graph_LBL_BCHART_16" hidden="1">#REF!</definedName>
    <definedName name="_85__123Graph_LBL_BCHART_17" hidden="1">#REF!</definedName>
    <definedName name="_86__123Graph_LBL_BCHART_18" hidden="1">#REF!</definedName>
    <definedName name="_87__123Graph_LBL_BCHART_27" hidden="1">#REF!</definedName>
    <definedName name="_88__123Graph_LBL_BCHART_31" hidden="1">#REF!</definedName>
    <definedName name="_89__123Graph_LBL_BCHART_33" hidden="1">#REF!</definedName>
    <definedName name="_9__123Graph_ACHART_29" hidden="1">#REF!</definedName>
    <definedName name="_90__123Graph_LBL_BCHART_34" hidden="1">#REF!</definedName>
    <definedName name="_91__123Graph_LBL_BCHART_35" hidden="1">#REF!</definedName>
    <definedName name="_92__123Graph_LBL_BCHART_36" hidden="1">#REF!</definedName>
    <definedName name="_93__123Graph_LBL_BCHART_37" hidden="1">#REF!</definedName>
    <definedName name="_94__123Graph_LBL_BCHART_39" hidden="1">#REF!</definedName>
    <definedName name="_95__123Graph_LBL_BCHART_43" hidden="1">#REF!</definedName>
    <definedName name="_96__123Graph_XCHART_1" hidden="1">#REF!</definedName>
    <definedName name="_97__123Graph_XCHART_13" hidden="1">#REF!</definedName>
    <definedName name="_98__123Graph_XCHART_14" hidden="1">#REF!</definedName>
    <definedName name="_99__123Graph_XCHART_15" hidden="1">#REF!</definedName>
    <definedName name="_AUS1" hidden="1">{"february96",#N/A,FALSE,"report"}</definedName>
    <definedName name="_Dist_Values" hidden="1">#REF!</definedName>
    <definedName name="_Fill" hidden="1">#REF!</definedName>
    <definedName name="_juk7" hidden="1">#REF!</definedName>
    <definedName name="_Key1" hidden="1">#REF!</definedName>
    <definedName name="_Key2" hidden="1">#REF!</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Order1" hidden="1">0</definedName>
    <definedName name="_Order2" hidden="1">255</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Sort" hidden="1">#REF!</definedName>
    <definedName name="_Table1_In1" hidden="1">#REF!</definedName>
    <definedName name="_Table1_Out" hidden="1">#REF!</definedName>
    <definedName name="_Table2_In1" hidden="1">#REF!</definedName>
    <definedName name="_Table2_Out" hidden="1">#REF!</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 hidden="1">{#N/A,#N/A,TRUE,"KEY DATA";#N/A,#N/A,TRUE,"KEY DATA Base Case";#N/A,#N/A,TRUE,"JULY";#N/A,#N/A,TRUE,"AUG";#N/A,#N/A,TRUE,"SEPT";#N/A,#N/A,TRUE,"3Q"}</definedName>
    <definedName name="A.." hidden="1">{#N/A,#N/A,TRUE,"KEY DATA";#N/A,#N/A,TRUE,"KEY DATA Base Case";#N/A,#N/A,TRUE,"JULY";#N/A,#N/A,TRUE,"AUG";#N/A,#N/A,TRUE,"SEPT";#N/A,#N/A,TRUE,"3Q"}</definedName>
    <definedName name="aa" hidden="1">{#N/A,#N/A,TRUE,"KEY DATA";#N/A,#N/A,TRUE,"KEY DATA Base Case";#N/A,#N/A,TRUE,"JULY";#N/A,#N/A,TRUE,"AUG";#N/A,#N/A,TRUE,"SEPT";#N/A,#N/A,TRUE,"3Q"}</definedName>
    <definedName name="aaa" hidden="1">{"november95",#N/A,FALSE,"report"}</definedName>
    <definedName name="aaa." hidden="1">{#N/A,#N/A,TRUE,"KEY DATA";#N/A,#N/A,TRUE,"KEY DATA Base Case";#N/A,#N/A,TRUE,"JULY";#N/A,#N/A,TRUE,"AUG";#N/A,#N/A,TRUE,"SEPT";#N/A,#N/A,TRUE,"3Q"}</definedName>
    <definedName name="AAAA" hidden="1">{"february96",#N/A,FALSE,"report"}</definedName>
    <definedName name="aaaaaaa" hidden="1">#REF!</definedName>
    <definedName name="aaaaaaaaaa" hidden="1">#REF!</definedName>
    <definedName name="aaaasdf" hidden="1">{#N/A,#N/A,TRUE,"GEM Total";#N/A,#N/A,TRUE,"Final Assembly";#N/A,#N/A,TRUE,"Cleaning";#N/A,#N/A,TRUE,"Schooping,Clearing";#N/A,#N/A,TRUE,"Winding"}</definedName>
    <definedName name="aabb" hidden="1">{#N/A,#N/A,FALSE,"Projections";#N/A,#N/A,FALSE,"Multiples Valuation";#N/A,#N/A,FALSE,"LBO";#N/A,#N/A,FALSE,"Multiples_Sensitivity";#N/A,#N/A,FALSE,"Summary"}</definedName>
    <definedName name="abc" hidden="1">{"all",#N/A,FALSE,"report"}</definedName>
    <definedName name="abcd" hidden="1">{"histincome",#N/A,FALSE,"hyfins";"closing balance",#N/A,FALSE,"hyfins"}</definedName>
    <definedName name="Accounts_Date" hidden="1">#REF!</definedName>
    <definedName name="AccrualsTemplate">"Button 12"</definedName>
    <definedName name="AcquirerAFTFees">[1]Schedules!#REF!</definedName>
    <definedName name="AcquirerFeeOptions">[1]Automation!#REF!</definedName>
    <definedName name="AcquirerOCTFees">[1]Schedules!#REF!</definedName>
    <definedName name="Activity">"Button 59"</definedName>
    <definedName name="Actuals" hidden="1">{"february96",#N/A,FALSE,"report"}</definedName>
    <definedName name="Actuals_2" hidden="1">{"february96",#N/A,FALSE,"report"}</definedName>
    <definedName name="Actuals_revenue_sheet" hidden="1">{"february96",#N/A,FALSE,"report"}</definedName>
    <definedName name="Actuals1" hidden="1">{"february96",#N/A,FALSE,"report"}</definedName>
    <definedName name="Actuals2" hidden="1">{"february96",#N/A,FALSE,"report"}</definedName>
    <definedName name="ad" hidden="1">{#N/A,#N/A,TRUE,"Acquirer_Cases_Input";#N/A,#N/A,TRUE,"Acquirer_Input";#N/A,#N/A,TRUE,"Acquirer"}</definedName>
    <definedName name="AddressNoticeAddress">[1]Automation!#REF!</definedName>
    <definedName name="adf" hidden="1">{"february96",#N/A,FALSE,"report"}</definedName>
    <definedName name="adfaf" hidden="1">{"histincome",#N/A,FALSE,"hyfins";"closing balance",#N/A,FALSE,"hyfins"}</definedName>
    <definedName name="AFT">'[1]Dropdown Logic'!$AM$5:$AM$13</definedName>
    <definedName name="anscount" hidden="1">4</definedName>
    <definedName name="APPROVALQUEUES" hidden="1">#REF!</definedName>
    <definedName name="ApprovalRoute">'[1]MI Database Template'!$P$9:$P$14</definedName>
    <definedName name="AS2DocOpenMode" hidden="1">"AS2DocumentEdit"</definedName>
    <definedName name="asdasd" hidden="1">{#N/A,#N/A,TRUE,"Acquirer_Cases_Input";#N/A,#N/A,TRUE,"Acquirer_Input";#N/A,#N/A,TRUE,"Acquirer"}</definedName>
    <definedName name="asdca" hidden="1">{"february96",#N/A,FALSE,"report"}</definedName>
    <definedName name="asdf" hidden="1">{#N/A,#N/A,TRUE,"KEY DATA";#N/A,#N/A,TRUE,"KEY DATA Base Case";#N/A,#N/A,TRUE,"JULY";#N/A,#N/A,TRUE,"AUG";#N/A,#N/A,TRUE,"SEPT";#N/A,#N/A,TRUE,"3Q"}</definedName>
    <definedName name="asdfasdf" hidden="1">{#N/A,#N/A,FALSE,"TS";#N/A,#N/A,FALSE,"Combo";#N/A,#N/A,FALSE,"FAIR";#N/A,#N/A,FALSE,"RBC";#N/A,#N/A,FALSE,"xxxx";#N/A,#N/A,FALSE,"A_D";#N/A,#N/A,FALSE,"WACC";#N/A,#N/A,FALSE,"DCF";#N/A,#N/A,FALSE,"LBO";#N/A,#N/A,FALSE,"AcqMults";#N/A,#N/A,FALSE,"CompMults"}</definedName>
    <definedName name="AuditChecks" hidden="1">#REF!</definedName>
    <definedName name="Aus" hidden="1">{"february96",#N/A,FALSE,"report"}</definedName>
    <definedName name="Author" hidden="1">#REF!</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b" hidden="1">{#N/A,#N/A,FALSE,"Consolidated Shipley";#N/A,#N/A,FALSE,"Consolidated PWB";#N/A,#N/A,FALSE,"Consolidated Micro"}</definedName>
    <definedName name="bbb" hidden="1">{#N/A,#N/A,FALSE,"Consolidated Shipley";#N/A,#N/A,FALSE,"Consolidated PWB";#N/A,#N/A,FALSE,"Consolidated Micro"}</definedName>
    <definedName name="bbbb" hidden="1">{"gross_margin1",#N/A,FALSE,"Gross Margin Detail";"gross_margin2",#N/A,FALSE,"Gross Margin Detail"}</definedName>
    <definedName name="bbbbb" hidden="1">{"historical acquirer",#N/A,FALSE,"Historical Performance";"historical target",#N/A,FALSE,"Historical Performance"}</definedName>
    <definedName name="bbbbbb" hidden="1">{#N/A,#N/A,TRUE,"Acquirer_Cases_Input";#N/A,#N/A,TRUE,"Acquirer_Input";#N/A,#N/A,TRUE,"Acquirer"}</definedName>
    <definedName name="bbbbbbb" hidden="1">{"graph",#N/A,FALSE,"WWJU";"graph",#N/A,FALSE,"WWSEM";"graph",#N/A,FALSE,"GOMJU";"graph",#N/A,FALSE,"GOMSEM";"graph",#N/A,FALSE,"NSJU";"graph",#N/A,FALSE,"NSSEM";"graph",#N/A,FALSE,"WAJU";"graph",#N/A,FALSE,"STOCKPRI";"graph",#N/A,FALSE,"CFTEV";"graph",#N/A,FALSE,"NAV-RCV";"graph",#N/A,FALSE,"CRUDEWW"}</definedName>
    <definedName name="bbc" hidden="1">{"all",#N/A,FALSE,"report"}</definedName>
    <definedName name="Bear"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E_MESSAGES_HIDDEN" hidden="1">#REF!</definedName>
    <definedName name="bud" hidden="1">{"november95",#N/A,FALSE,"report"}</definedName>
    <definedName name="BUDGET" hidden="1">{"february96",#N/A,FALSE,"report"}</definedName>
    <definedName name="CanadaFcstIII" hidden="1">{"may96",#N/A,FALSE,"report"}</definedName>
    <definedName name="CBWorkbookPriority" hidden="1">-2142391462</definedName>
    <definedName name="cc"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ccc" hidden="1">{"cred comp",#N/A,FALSE,"Comparable Credit Analysis";"IS",#N/A,FALSE,"IS";"Sensitivity",#N/A,FALSE,"Sensitivity";"BS",#N/A,FALSE,"BS";"Bond Summary",#N/A,FALSE,"B Summary";"AD",#N/A,FALSE,"Accretion";"NAV",#N/A,FALSE,"NAV";"SU",#N/A,FALSE,"S&amp;U";"acq. study",#N/A,FALSE,"Acq. Study";"F Charges",#N/A,FALSE,"Fixed Charges"}</definedName>
    <definedName name="cccc" hidden="1">{#N/A,#N/A,FALSE,"SUM";#N/A,#N/A,FALSE,"Holding Cost ";#N/A,#N/A,FALSE,"2000 &amp; C3D";#N/A,#N/A,FALSE,"Disposal Costs";#N/A,#N/A,FALSE,"WIP";#N/A,#N/A,FALSE,"Fin Goods"}</definedName>
    <definedName name="ccccc" hidden="1">{"revenue detail 1",#N/A,FALSE,"Revenue Detail";"revenue detail 2",#N/A,FALSE,"Revenue Detail";"revenue detail 3",#N/A,FALSE,"Revenue Detail";"revenue detail 4",#N/A,FALSE,"Revenue Detail"}</definedName>
    <definedName name="cccccc" hidden="1">{#N/A,#N/A,TRUE,"Falcons_Standalone";#N/A,#N/A,TRUE,"Target_Input";#N/A,#N/A,TRUE,"Target_Calendarized"}</definedName>
    <definedName name="ccccccc" hidden="1">{"revenue graph",#N/A,FALSE,"Revenue Graph"}</definedName>
    <definedName name="cccccccc" hidden="1">{"Total",#N/A,FALSE,"Six Fields";"PDP",#N/A,FALSE,"Six Fields";"PNP",#N/A,FALSE,"Six Fields";"PUD",#N/A,FALSE,"Six Fields";"Prob",#N/A,FALSE,"Six Fields"}</definedName>
    <definedName name="ccccccccc" hidden="1">{"Sum1",#N/A,FALSE,"Reserve Report";"Sum2",#N/A,FALSE,"Reserve Report";"Sum3",#N/A,FALSE,"Reserve Report";"Sum4",#N/A,FALSE,"Reserve Report"}</definedName>
    <definedName name="COGNOS" hidden="1">#REF!</definedName>
    <definedName name="ComboLink" hidden="1">#REF!</definedName>
    <definedName name="ComboList" hidden="1">#REF!</definedName>
    <definedName name="ComboStart" hidden="1">#REF!</definedName>
    <definedName name="Company" hidden="1">#REF!</definedName>
    <definedName name="Contact" hidden="1">#REF!</definedName>
    <definedName name="Control" hidden="1">{"'quarterly'!$A$1:$H$60"}</definedName>
    <definedName name="d" hidden="1">{"february96",#N/A,FALSE,"report"}</definedName>
    <definedName name="dcDaysInWeek">7</definedName>
    <definedName name="dcDaysInYear">365</definedName>
    <definedName name="dcMthsInQtr">3</definedName>
    <definedName name="dcMthsInYear">12</definedName>
    <definedName name="dcQtrsInYear">4</definedName>
    <definedName name="dcWeeksInYear">52</definedName>
    <definedName name="dd" hidden="1">{#N/A,#N/A,FALSE,"AD_Purch";#N/A,#N/A,FALSE,"Projections";#N/A,#N/A,FALSE,"DCF";#N/A,#N/A,FALSE,"Mkt Val"}</definedName>
    <definedName name="ddd" hidden="1">{"february96",#N/A,FALSE,"report"}</definedName>
    <definedName name="dddd" hidden="1">{"may96",#N/A,FALSE,"report"}</definedName>
    <definedName name="def" hidden="1">{"april96",#N/A,FALSE,"report"}</definedName>
    <definedName name="DetailedOpenPurchaseOrderListing">"Button 11"</definedName>
    <definedName name="DetailedTransactionListings">"Button 9"</definedName>
    <definedName name="dfdfdfd" hidden="1">{#N/A,#N/A,FALSE,"AD_Purchase";#N/A,#N/A,FALSE,"Credit";#N/A,#N/A,FALSE,"PF Acquisition";#N/A,#N/A,FALSE,"PF Offering"}</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MthsInYear">12</definedName>
    <definedName name="doh" hidden="1">{#N/A,#N/A,FALSE,"TS";#N/A,#N/A,FALSE,"Combo";#N/A,#N/A,FALSE,"FAIR";#N/A,#N/A,FALSE,"RBC";#N/A,#N/A,FALSE,"xxxx";#N/A,#N/A,FALSE,"A_D";#N/A,#N/A,FALSE,"WACC";#N/A,#N/A,FALSE,"DCF";#N/A,#N/A,FALSE,"LBO";#N/A,#N/A,FALSE,"AcqMults";#N/A,#N/A,FALSE,"CompMults"}</definedName>
    <definedName name="dzfsdf" hidden="1">{#N/A,#N/A,TRUE,"FOC_Product_Assumptions"}</definedName>
    <definedName name="e" hidden="1">{"may96",#N/A,FALSE,"report"}</definedName>
    <definedName name="ENABLINGSUPPORT" hidden="1">#REF!</definedName>
    <definedName name="et" hidden="1">{"may96",#N/A,FALSE,"report"}</definedName>
    <definedName name="extr" hidden="1">{"P&amp;L",#N/A,TRUE,"HC";"P&amp;L Percents",#N/A,TRUE,"P&amp;L";"M&amp;A3 P&amp;L",#N/A,TRUE,"HC";"M&amp;A3 Pipeline",#N/A,TRUE,"HC";"Franchises",#N/A,TRUE,"HC";"CF&amp;BS",#N/A,TRUE,"HC"}</definedName>
    <definedName name="extr1" hidden="1">{"P&amp;L",#N/A,TRUE,"HC";"P&amp;L Percents",#N/A,TRUE,"P&amp;L";"M&amp;A3 P&amp;L",#N/A,TRUE,"HC";"M&amp;A3 Pipeline",#N/A,TRUE,"HC";"Franchises",#N/A,TRUE,"HC";"CF&amp;BS",#N/A,TRUE,"HC"}</definedName>
    <definedName name="f"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FastTrack">[1]Automation!#REF!</definedName>
    <definedName name="Fax" hidden="1">#REF!</definedName>
    <definedName name="fghf" hidden="1">#REF!</definedName>
    <definedName name="FileName" hidden="1">#REF!</definedName>
    <definedName name="FIRSTCHARGEBACK" hidden="1">#REF!</definedName>
    <definedName name="FRAUD" hidden="1">#REF!</definedName>
    <definedName name="fsdsfafd" hidden="1">{"CSheet",#N/A,FALSE,"C";"SmCap",#N/A,FALSE,"VAL1";"GulfCoast",#N/A,FALSE,"VAL1";"nav",#N/A,FALSE,"NAV";"Summary",#N/A,FALSE,"NAV"}</definedName>
    <definedName name="g" hidden="1">{#N/A,#N/A,FALSE,"ww";#N/A,#N/A,FALSE,"usa";#N/A,#N/A,FALSE,"canada";#N/A,#N/A,FALSE,"eu";#N/A,#N/A,FALSE,"cemea";#N/A,#N/A,FALSE,"asia";#N/A,#N/A,FALSE,"la"}</definedName>
    <definedName name="ggtfr" hidden="1">{#N/A,#N/A,FALSE,"ACQ_GRAPHS";#N/A,#N/A,FALSE,"T_1 GRAPHS";#N/A,#N/A,FALSE,"T_2 GRAPHS";#N/A,#N/A,FALSE,"COMB_GRAPHS"}</definedName>
    <definedName name="gooch" hidden="1">{#N/A,#N/A,FALSE,"Projections";#N/A,#N/A,FALSE,"Multiples Valuation";#N/A,#N/A,FALSE,"LBO";#N/A,#N/A,FALSE,"Multiples_Sensitivity";#N/A,#N/A,FALSE,"Summary"}</definedName>
    <definedName name="GraphCumulativeSpend">"Button 5"</definedName>
    <definedName name="GraphPhasedSpend">"Button 3"</definedName>
    <definedName name="GraphYTDSpendByCategory">"Button 6"</definedName>
    <definedName name="gy" hidden="1">#REF!</definedName>
    <definedName name="h" hidden="1">{"february96",#N/A,FALSE,"report"}</definedName>
    <definedName name="HeadlineCategory">"Button 2"</definedName>
    <definedName name="HH" hidden="1">{"february96",#N/A,FALSE,"report"}</definedName>
    <definedName name="hhhh"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ML_CodePage" hidden="1">1252</definedName>
    <definedName name="HTML_Control" hidden="1">{"'quarterly'!$A$1:$H$60"}</definedName>
    <definedName name="HTML_Description" hidden="1">""</definedName>
    <definedName name="HTML_Email" hidden="1">""</definedName>
    <definedName name="HTML_Header" hidden="1">"Quarterly Uptime Q2 2001"</definedName>
    <definedName name="HTML_LastUpdate" hidden="1">"7/3/01"</definedName>
    <definedName name="HTML_LineAfter" hidden="1">FALSE</definedName>
    <definedName name="HTML_LineBefore" hidden="1">FALSE</definedName>
    <definedName name="HTML_Name" hidden="1">"Kerin Burns"</definedName>
    <definedName name="HTML_OBDlg2" hidden="1">TRUE</definedName>
    <definedName name="HTML_OBDlg4" hidden="1">TRUE</definedName>
    <definedName name="HTML_OS" hidden="1">0</definedName>
    <definedName name="HTML_PathFile" hidden="1">"C:\WINNT\Profiles\kburns\Desktop\Kerin's Documents\QuarterlyUptimeQ22001.html"</definedName>
    <definedName name="HTML_Title" hidden="1">"Quarterly Uptime Q2 2001"</definedName>
    <definedName name="HTML1_1" hidden="1">"[Vdpsdly.xls]Monthly!$A$1:$F$23"</definedName>
    <definedName name="HTML1_10" hidden="1">"mclemens@visa.com"</definedName>
    <definedName name="HTML1_11" hidden="1">1</definedName>
    <definedName name="HTML1_12" hidden="1">"C:\Data\DPS\DPSStats\MyHTML.htm"</definedName>
    <definedName name="HTML1_2" hidden="1">1</definedName>
    <definedName name="HTML1_3" hidden="1">"Monthly DPS Statistics"</definedName>
    <definedName name="HTML1_4" hidden="1">"Monthly DPS Statistics"</definedName>
    <definedName name="HTML1_5" hidden="1">""</definedName>
    <definedName name="HTML1_6" hidden="1">1</definedName>
    <definedName name="HTML1_7" hidden="1">1</definedName>
    <definedName name="HTML1_8" hidden="1">"5/4/97"</definedName>
    <definedName name="HTML1_9" hidden="1">"Mike Clemens"</definedName>
    <definedName name="HTML2_1" hidden="1">"'[QSP971#.XLS]WWCARDS pg1 971'!$O$5:$Q$24"</definedName>
    <definedName name="HTML2_10" hidden="1">""</definedName>
    <definedName name="HTML2_11" hidden="1">1</definedName>
    <definedName name="HTML2_12" hidden="1">"H:\PLANNING\MIS\MIS - Regular Reports\Intranet\Worldwide.htm"</definedName>
    <definedName name="HTML2_2" hidden="1">1</definedName>
    <definedName name="HTML2_3" hidden="1">"Visa CEMEA"</definedName>
    <definedName name="HTML2_4" hidden="1">"Worldwide Results"</definedName>
    <definedName name="HTML2_5" hidden="1">"Year End March 1997"</definedName>
    <definedName name="HTML2_6" hidden="1">1</definedName>
    <definedName name="HTML2_7" hidden="1">1</definedName>
    <definedName name="HTML2_8" hidden="1">"07/07/97"</definedName>
    <definedName name="HTML2_9" hidden="1">"Alberto Pagliano Ext (8560)"</definedName>
    <definedName name="HTML3_1" hidden="1">"'[QSP971#.XLS]Cemea Bar Cards pg2 971'!$A$19:$I$25"</definedName>
    <definedName name="HTML3_10" hidden="1">""</definedName>
    <definedName name="HTML3_11" hidden="1">1</definedName>
    <definedName name="HTML3_12" hidden="1">"H:\PLANNING\MIS\MIS - Regular Reports\Intranet\Visa CEMEA Cards.htm"</definedName>
    <definedName name="HTML3_2" hidden="1">1</definedName>
    <definedName name="HTML3_3" hidden="1">"Visa CEMEA"</definedName>
    <definedName name="HTML3_4" hidden="1">"Number of Cards"</definedName>
    <definedName name="HTML3_5" hidden="1">"Year End March 1997"</definedName>
    <definedName name="HTML3_6" hidden="1">-4146</definedName>
    <definedName name="HTML3_7" hidden="1">1</definedName>
    <definedName name="HTML3_8" hidden="1">"07/07/97"</definedName>
    <definedName name="HTML3_9" hidden="1">"Alberto Pagliano (Ext 8560)"</definedName>
    <definedName name="HTMLCount" hidden="1">1</definedName>
    <definedName name="Incentive_Options">'P&amp;L'!$E$109:$E$114</definedName>
    <definedName name="INDIAVOLUME" hidden="1">#REF!</definedName>
    <definedName name="io"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NO_EST" hidden="1">"c267"</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NO_EST" hidden="1">"c276"</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41645.7447569444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NO_EST" hidden="1">"c263"</definedName>
    <definedName name="IQ_REVENUE_NUM_EST" hidden="1">"c1129"</definedName>
    <definedName name="IQ_REVISION_DATE_" hidden="1">39305.5031597222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 hidden="1">{"summary1",#N/A,FALSE,"Summary of Values";"summary2",#N/A,FALSE,"Summary of Values"}</definedName>
    <definedName name="JIVAEXCEPTIONS" hidden="1">#REF!</definedName>
    <definedName name="jj" hidden="1">{"developed valuation",#N/A,FALSE,"Valuation Analysis";"developed income statement",#N/A,FALSE,"Abbreviated Income Statement";"inprocess valuation",#N/A,FALSE,"Valuation Analysis";"inprocess income statement",#N/A,FALSE,"Abbreviated Income Statement"}</definedName>
    <definedName name="jjj" hidden="1">{"CSheet",#N/A,FALSE,"C";"SmCap",#N/A,FALSE,"VAL1";"GulfCoast",#N/A,FALSE,"VAL1";"nav",#N/A,FALSE,"NAV";"Summary",#N/A,FALSE,"NAV"}</definedName>
    <definedName name="jjjj" hidden="1">{"Total",#N/A,FALSE,"Total Proved";"PDP",#N/A,FALSE,"Total Proved";"PNP",#N/A,FALSE,"Total Proved";"PUD",#N/A,FALSE,"Total Proved"}</definedName>
    <definedName name="jjjjj" hidden="1">{"Total",#N/A,FALSE,"Total Proved + Probable";"PDP",#N/A,FALSE,"Total Proved + Probable";"PNP",#N/A,FALSE,"Total Proved + Probable";"PUD",#N/A,FALSE,"Total Proved + Probable";"Prob",#N/A,FALSE,"Total Proved + Probable"}</definedName>
    <definedName name="jjjjjj" hidden="1">{"trademark1",#N/A,FALSE,"Trademark(s) and Trade Name(s)"}</definedName>
    <definedName name="jjjjjjj" hidden="1">{"histincome",#N/A,FALSE,"hyfins";"closing balance",#N/A,FALSE,"hyfins"}</definedName>
    <definedName name="jk" hidden="1">{"may96",#N/A,FALSE,"report"}</definedName>
    <definedName name="junk" hidden="1">#REF!</definedName>
    <definedName name="junk10" hidden="1">#REF!</definedName>
    <definedName name="junk11" hidden="1">#REF!</definedName>
    <definedName name="junk12" hidden="1">#REF!</definedName>
    <definedName name="junk13" hidden="1">#REF!</definedName>
    <definedName name="junk14" hidden="1">#REF!</definedName>
    <definedName name="junk15" hidden="1">#REF!</definedName>
    <definedName name="junk16" hidden="1">#REF!</definedName>
    <definedName name="junk2" hidden="1">#REF!</definedName>
    <definedName name="junk3" hidden="1">#REF!</definedName>
    <definedName name="junk4" hidden="1">#REF!</definedName>
    <definedName name="junk6" hidden="1">#REF!</definedName>
    <definedName name="junk8" hidden="1">#REF!</definedName>
    <definedName name="junk9" hidden="1">#REF!</definedName>
    <definedName name="jyt" hidden="1">{"may96",#N/A,FALSE,"report"}</definedName>
    <definedName name="k" hidden="1">{"Total",#N/A,FALSE,"Six Fields";"PDP",#N/A,FALSE,"Six Fields";"PNP",#N/A,FALSE,"Six Fields";"PUD",#N/A,FALSE,"Six Fields";"Prob",#N/A,FALSE,"Six Fields"}</definedName>
    <definedName name="kas" hidden="1">{"may96",#N/A,FALSE,"report"}</definedName>
    <definedName name="kk" hidden="1">{"Sum1",#N/A,FALSE,"Reserve Report";"Sum2",#N/A,FALSE,"Reserve Report";"Sum3",#N/A,FALSE,"Reserve Report";"Sum4",#N/A,FALSE,"Reserve Report"}</definedName>
    <definedName name="kkkkk" hidden="1">{#N/A,#N/A,FALSE,"Report Data";#N/A,#N/A,FALSE,"COMP POOL";#N/A,#N/A,FALSE,"COMP POOL NB95";#N/A,#N/A,FALSE,"COMP POOL NB94"}</definedName>
    <definedName name="kl" hidden="1">{#N/A,#N/A,FALSE,"ww";#N/A,#N/A,FALSE,"usa";#N/A,#N/A,FALSE,"canada";#N/A,#N/A,FALSE,"eu";#N/A,#N/A,FALSE,"cemea";#N/A,#N/A,FALSE,"asia";#N/A,#N/A,FALSE,"la"}</definedName>
    <definedName name="klkdla" hidden="1">#REF!</definedName>
    <definedName name="l" hidden="1">{"february96",#N/A,FALSE,"report"}</definedName>
    <definedName name="Last_Row">#N/A</definedName>
    <definedName name="lili" hidden="1">{"february96",#N/A,FALSE,"report"}</definedName>
    <definedName name="limcount" hidden="1">2</definedName>
    <definedName name="ListOffset" hidden="1">2</definedName>
    <definedName name="liu" hidden="1">{"november95",#N/A,FALSE,"report"}</definedName>
    <definedName name="ll" hidden="1">{"graph",#N/A,FALSE,"WWJU";"graph",#N/A,FALSE,"WWSEM";"graph",#N/A,FALSE,"GOMJU";"graph",#N/A,FALSE,"GOMSEM";"graph",#N/A,FALSE,"NSJU";"graph",#N/A,FALSE,"NSSEM";"graph",#N/A,FALSE,"WAJU";"graph",#N/A,FALSE,"STOCKPRI";"graph",#N/A,FALSE,"CFTEV";"graph",#N/A,FALSE,"NAV-RCV";"graph",#N/A,FALSE,"CRUDEWW"}</definedName>
    <definedName name="lll"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llll" hidden="1">{"cred comp",#N/A,FALSE,"Comparable Credit Analysis";"IS",#N/A,FALSE,"IS";"Sensitivity",#N/A,FALSE,"Sensitivity";"BS",#N/A,FALSE,"BS";"Bond Summary",#N/A,FALSE,"B Summary";"AD",#N/A,FALSE,"Accretion";"NAV",#N/A,FALSE,"NAV";"SU",#N/A,FALSE,"S&amp;U";"acq. study",#N/A,FALSE,"Acq. Study";"F Charges",#N/A,FALSE,"Fixed Charges"}</definedName>
    <definedName name="lllll" hidden="1">{#N/A,#N/A,FALSE,"SUM";#N/A,#N/A,FALSE,"Holding Cost ";#N/A,#N/A,FALSE,"2000 &amp; C3D";#N/A,#N/A,FALSE,"Disposal Costs";#N/A,#N/A,FALSE,"WIP";#N/A,#N/A,FALSE,"Fin Goods"}</definedName>
    <definedName name="llllll" hidden="1">{"revenue detail 1",#N/A,FALSE,"Revenue Detail";"revenue detail 2",#N/A,FALSE,"Revenue Detail";"revenue detail 3",#N/A,FALSE,"Revenue Detail";"revenue detail 4",#N/A,FALSE,"Revenue Detail"}</definedName>
    <definedName name="lllllll" hidden="1">{"revenue graph",#N/A,FALSE,"Revenue Graph"}</definedName>
    <definedName name="LOSSES" hidden="1">#REF!</definedName>
    <definedName name="March"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co" hidden="1">{"may96",#N/A,FALSE,"report"}</definedName>
    <definedName name="mark"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m" hidden="1">{"ReportTop",#N/A,FALSE,"report top"}</definedName>
    <definedName name="mmm" hidden="1">{"documentation1",#N/A,FALSE,"Documentation";"documentation2",#N/A,FALSE,"Documentation"}</definedName>
    <definedName name="mmmm"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mmmmm" hidden="1">{#N/A,#N/A,TRUE,"Fiber_Optic_Cable_Input ";#N/A,#N/A,TRUE,"Specialty_Fiber_Devices_Input";#N/A,#N/A,TRUE,"Optical_Fiber_Apparatus_Input"}</definedName>
    <definedName name="mmmmmm" hidden="1">{#N/A,#N/A,TRUE,"Falcons_Standalone";#N/A,#N/A,TRUE,"Target_Input";#N/A,#N/A,TRUE,"Target_Calendarized"}</definedName>
    <definedName name="mmmmmmm" hidden="1">{#N/A,#N/A,TRUE,"FOC_Product_Assumptions"}</definedName>
    <definedName name="mmmmmmmm" hidden="1">{#N/A,#N/A,FALSE,"Consolidated Shipley";#N/A,#N/A,FALSE,"Consolidated PWB";#N/A,#N/A,FALSE,"Consolidated Micro"}</definedName>
    <definedName name="mo" hidden="1">{#N/A,#N/A,TRUE,"KEY DATA";#N/A,#N/A,TRUE,"KEY DATA Base Case";#N/A,#N/A,TRUE,"JULY";#N/A,#N/A,TRUE,"AUG";#N/A,#N/A,TRUE,"SEPT";#N/A,#N/A,TRUE,"3Q"}</definedName>
    <definedName name="Model">'[2]1b) Forecast Inputs '!$C$4</definedName>
    <definedName name="modelversion" hidden="1">"v1.7"</definedName>
    <definedName name="n" hidden="1">{#N/A,#N/A,FALSE,"Consolidated Shipley";#N/A,#N/A,FALSE,"Consolidated PWB";#N/A,#N/A,FALSE,"Consolidated Micro"}</definedName>
    <definedName name="n\" hidden="1">{#N/A,#N/A,FALSE,"Projections";#N/A,#N/A,FALSE,"Multiples Valuation";#N/A,#N/A,FALSE,"LBO";#N/A,#N/A,FALSE,"Multiples_Sensitivity";#N/A,#N/A,FALSE,"Summary"}</definedName>
    <definedName name="NN" hidden="1">{"revenue detail 1",#N/A,FALSE,"Revenue Detail";"revenue detail 2",#N/A,FALSE,"Revenue Detail";"revenue detail 3",#N/A,FALSE,"Revenue Detail";"revenue detail 4",#N/A,FALSE,"Revenue Detail"}</definedName>
    <definedName name="nnff" hidden="1">{#N/A,#N/A,FALSE,"ww";#N/A,#N/A,FALSE,"usa";#N/A,#N/A,FALSE,"canada";#N/A,#N/A,FALSE,"eu";#N/A,#N/A,FALSE,"cemea";#N/A,#N/A,FALSE,"asia";#N/A,#N/A,FALSE,"la"}</definedName>
    <definedName name="nnn" hidden="1">{#N/A,#N/A,FALSE,"Consolidated Shipley";#N/A,#N/A,FALSE,"Consolidated PWB";#N/A,#N/A,FALSE,"Consolidated Micro"}</definedName>
    <definedName name="nnnn" hidden="1">{#N/A,#N/A,FALSE,"Consolidated Shipley";#N/A,#N/A,FALSE,"Consolidated PWB";#N/A,#N/A,FALSE,"Consolidated Micro"}</definedName>
    <definedName name="nnnnn" hidden="1">{"february96",#N/A,FALSE,"report"}</definedName>
    <definedName name="nnnnnn" hidden="1">{"historical acquirer",#N/A,FALSE,"Historical Performance";"historical target",#N/A,FALSE,"Historical Performance"}</definedName>
    <definedName name="NoticeAddress">[1]Automation!#REF!</definedName>
    <definedName name="Number_of_Payments">#N/A</definedName>
    <definedName name="o" hidden="1">{#N/A,#N/A,FALSE,"New Depr Sch-150% DB";#N/A,#N/A,FALSE,"Cash Flows RLP";#N/A,#N/A,FALSE,"IRR";#N/A,#N/A,FALSE,"Proforma IS";#N/A,#N/A,FALSE,"Assumptions"}</definedName>
    <definedName name="Objective" hidden="1">#REF!</definedName>
    <definedName name="OCT">'[1]Dropdown Logic'!$AN$5:$AN$21</definedName>
    <definedName name="ok" hidden="1">#REF!</definedName>
    <definedName name="OtherVolume" hidden="1">#REF!</definedName>
    <definedName name="OUTOFPOLICY" hidden="1">#REF!</definedName>
    <definedName name="p" hidden="1">{"february96",#N/A,FALSE,"report"}</definedName>
    <definedName name="Payment_Date">#N/A</definedName>
    <definedName name="pdpdpd"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hased">"Button 61"</definedName>
    <definedName name="PhasedReportsActByAccount">"Button 8"</definedName>
    <definedName name="PIPELINE" hidden="1">#REF!</definedName>
    <definedName name="P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xlnm.Print_Area" localSheetId="0">Intro!$B$2:$O$23</definedName>
    <definedName name="_xlnm.Print_Area" localSheetId="2">'P&amp;L'!$E$1:$R$92</definedName>
    <definedName name="Print_Area_Reset">#N/A</definedName>
    <definedName name="Product" hidden="1">#REF!</definedName>
    <definedName name="PRODUCTIVITY" hidden="1">#REF!</definedName>
    <definedName name="PUB_FileID" hidden="1">"L10003787.xls"</definedName>
    <definedName name="PUB_UserID" hidden="1">"MAYERX"</definedName>
    <definedName name="q" hidden="1">{"february96",#N/A,FALSE,"report"}</definedName>
    <definedName name="QUESTIONNAIRES" hidden="1">#REF!</definedName>
    <definedName name="qwerty" hidden="1">{#N/A,#N/A,TRUE,"FOC_Product_Assumptions"}</definedName>
    <definedName name="RECOVERIES" hidden="1">#REF!</definedName>
    <definedName name="RECOVERYQUEUE" hidden="1">#REF!</definedName>
    <definedName name="redo" hidden="1">{#N/A,#N/A,FALSE,"ACQ_GRAPHS";#N/A,#N/A,FALSE,"T_1 GRAPHS";#N/A,#N/A,FALSE,"T_2 GRAPHS";#N/A,#N/A,FALSE,"COMB_GRAPHS"}</definedName>
    <definedName name="REPRESENTMENTS" hidden="1">#REF!</definedName>
    <definedName name="rer" hidden="1">{"november95",#N/A,FALSE,"report"}</definedName>
    <definedName name="rhs" hidden="1">{#N/A,#N/A,TRUE,"KEY DATA";#N/A,#N/A,TRUE,"KEY DATA Base Case";#N/A,#N/A,TRUE,"JULY";#N/A,#N/A,TRUE,"AUG";#N/A,#N/A,TRUE,"SEPT";#N/A,#N/A,TRUE,"3Q"}</definedName>
    <definedName name="rtrtrr">#N/A</definedName>
    <definedName name="s" hidden="1">{"february96",#N/A,FALSE,"report"}</definedName>
    <definedName name="SAPBEXrevision" hidden="1">1</definedName>
    <definedName name="SAPBEXsysID" hidden="1">"BWP"</definedName>
    <definedName name="SAPBEXwbID" hidden="1">"3P1H8QHXZS6WCRMKQ7A09TI70"</definedName>
    <definedName name="sasawdad" hidden="1">#REF!</definedName>
    <definedName name="sd" hidden="1">{"february96",#N/A,FALSE,"report"}</definedName>
    <definedName name="sda" hidden="1">{#N/A,#N/A,FALSE,"TS";#N/A,#N/A,FALSE,"Combo";#N/A,#N/A,FALSE,"FAIR";#N/A,#N/A,FALSE,"RBC";#N/A,#N/A,FALSE,"xxxx";#N/A,#N/A,FALSE,"A_D";#N/A,#N/A,FALSE,"WACC";#N/A,#N/A,FALSE,"DCF";#N/A,#N/A,FALSE,"LBO";#N/A,#N/A,FALSE,"AcqMults";#N/A,#N/A,FALSE,"CompMults"}</definedName>
    <definedName name="sdasdsad" hidden="1">{#N/A,#N/A,TRUE,"Falcons_Standalone";#N/A,#N/A,TRUE,"Target_Input";#N/A,#N/A,TRUE,"Target_Calendarized"}</definedName>
    <definedName name="sdf" hidden="1">{#N/A,#N/A,FALSE,"Aging Summary";#N/A,#N/A,FALSE,"Ratio Analysis";#N/A,#N/A,FALSE,"Test 120 Day Accts";#N/A,#N/A,FALSE,"Tickmarks"}</definedName>
    <definedName name="sdfsdf" hidden="1">{#N/A,#N/A,TRUE,"Acquirer_Cases_Input";#N/A,#N/A,TRUE,"Acquirer_Input";#N/A,#N/A,TRUE,"Acquirer"}</definedName>
    <definedName name="sdzfdsaf" hidden="1">{"may96",#N/A,FALSE,"report"}</definedName>
    <definedName name="sdzfdsaf1" hidden="1">{"may96",#N/A,FALSE,"report"}</definedName>
    <definedName name="se" hidden="1">{"february96",#N/A,FALSE,"report"}</definedName>
    <definedName name="sencount" hidden="1">2</definedName>
    <definedName name="Services1" hidden="1">{"february96",#N/A,FALSE,"report"}</definedName>
    <definedName name="services2" hidden="1">{"february96",#N/A,FALSE,"report"}</definedName>
    <definedName name="SleepmasterIncome" hidden="1">{#N/A,#N/A,FALSE,"TS";#N/A,#N/A,FALSE,"Combo";#N/A,#N/A,FALSE,"FAIR";#N/A,#N/A,FALSE,"RBC";#N/A,#N/A,FALSE,"xxxx";#N/A,#N/A,FALSE,"A_D";#N/A,#N/A,FALSE,"WACC";#N/A,#N/A,FALSE,"DCF";#N/A,#N/A,FALSE,"LBO";#N/A,#N/A,FALSE,"AcqMults";#N/A,#N/A,FALSE,"CompMults"}</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s">#N/A</definedName>
    <definedName name="sss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artCell" hidden="1">#REF!</definedName>
    <definedName name="StrategicPricingPresent">[1]Automation!#REF!</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UMMARY_BOOK" hidden="1">{"page1",#N/A,FALSE,"GIRLBO";"page2",#N/A,FALSE,"GIRLBO";"page3",#N/A,FALSE,"GIRLBO";"page4",#N/A,FALSE,"GIRLBO";"page5",#N/A,FALSE,"GIRLBO"}</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PPLIER" hidden="1">{#N/A,#N/A,FALSE,"IS";#N/A,#N/A,FALSE,"BS";#N/A,#N/A,FALSE,"RMA";#N/A,#N/A,FALSE,"INCOME";#N/A,#N/A,FALSE,"DCF";#N/A,#N/A,FALSE,"MARKET"}</definedName>
    <definedName name="TableName">"Dummy"</definedName>
    <definedName name="Telephone" hidden="1">#REF!</definedName>
    <definedName name="temp" hidden="1">{"february96",#N/A,FALSE,"report"}</definedName>
    <definedName name="temp."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2" hidden="1">{"may96",#N/A,FALSE,"report"}</definedName>
    <definedName name="temp3" hidden="1">{"november95",#N/A,FALSE,"report"}</definedName>
    <definedName name="temp4" hidden="1">{"november95",#N/A,FALSE,"report"}</definedName>
    <definedName name="test" hidden="1">{"november95",#N/A,FALSE,"report"}</definedName>
    <definedName name="TM1REBUILDOPTION">0</definedName>
    <definedName name="treeList" hidden="1">"11100000000000000000000000000000000000000000000000000000000000000000000000000000000000000000000000000000000000000000000000000000000000000000000000000000000000000000000000000000000000000000000000000000"</definedName>
    <definedName name="tttt" hidden="1">{#N/A,#N/A,FALSE,"Report Data";#N/A,#N/A,FALSE,"COMP POOL";#N/A,#N/A,FALSE,"COMP POOL NB95";#N/A,#N/A,FALSE,"COMP POOL NB94"}</definedName>
    <definedName name="Tulsa" hidden="1">{#N/A,#N/A,FALSE,"Report Data";#N/A,#N/A,FALSE,"COMP POOL";#N/A,#N/A,FALSE,"COMP POOL NB95";#N/A,#N/A,FALSE,"COMP POOL NB94"}</definedName>
    <definedName name="type" hidden="1">{"november95",#N/A,FALSE,"report"}</definedName>
    <definedName name="Units" hidden="1">#REF!</definedName>
    <definedName name="US_Corp_Tools" hidden="1">{"february96",#N/A,FALSE,"report"}</definedName>
    <definedName name="v" hidden="1">{#N/A,#N/A,FALSE,"Aging Summary";#N/A,#N/A,FALSE,"Ratio Analysis";#N/A,#N/A,FALSE,"Test 120 Day Accts";#N/A,#N/A,FALSE,"Tickmarks"}</definedName>
    <definedName name="Values_Entered">#N/A</definedName>
    <definedName name="Version" hidden="1">#REF!</definedName>
    <definedName name="VersNo">0.22</definedName>
    <definedName name="VISASIGNATURE" hidden="1">#REF!</definedName>
    <definedName name="VROLEXCEPTIONS" hidden="1">#REF!</definedName>
    <definedName name="vv" hidden="1">{"contributory1",#N/A,FALSE,"Contributory Assets Detail";"contributory2",#N/A,FALSE,"Contributory Assets Detail"}</definedName>
    <definedName name="vvv" hidden="1">{"ReportTop",#N/A,FALSE,"report top"}</definedName>
    <definedName name="vvvv" hidden="1">{"documentation1",#N/A,FALSE,"Documentation";"documentation2",#N/A,FALSE,"Documentation"}</definedName>
    <definedName name="vvvvv"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vvvvvv" hidden="1">{#N/A,#N/A,TRUE,"Fiber_Optic_Cable_Input ";#N/A,#N/A,TRUE,"Specialty_Fiber_Devices_Input";#N/A,#N/A,TRUE,"Optical_Fiber_Apparatus_Input"}</definedName>
    <definedName name="vvvvvvv" hidden="1">{#N/A,#N/A,TRUE,"Falcons_Standalone";#N/A,#N/A,TRUE,"Target_Input";#N/A,#N/A,TRUE,"Target_Calendarized"}</definedName>
    <definedName name="vvvvvvvv" hidden="1">{#N/A,#N/A,TRUE,"FOC_Product_Assumptions"}</definedName>
    <definedName name="vvvvvvvvv" hidden="1">{#N/A,#N/A,FALSE,"Consolidated Shipley";#N/A,#N/A,FALSE,"Consolidated PWB";#N/A,#N/A,FALSE,"Consolidated Micro"}</definedName>
    <definedName name="vvvvvvvvvv" hidden="1">{#N/A,#N/A,FALSE,"Consolidated Shipley";#N/A,#N/A,FALSE,"Consolidated PWB";#N/A,#N/A,FALSE,"Consolidated Micro"}</definedName>
    <definedName name="w" hidden="1">{"ReportTop",#N/A,FALSE,"report top"}</definedName>
    <definedName name="WARA2" hidden="1">{"histincome",#N/A,FALSE,"hyfins";"closing balance",#N/A,FALSE,"hyfins"}</definedName>
    <definedName name="Web" hidden="1">#REF!</definedName>
    <definedName name="wetwerg" hidden="1">{"february96",#N/A,FALSE,"report"}</definedName>
    <definedName name="wrn." hidden="1">{#N/A,#N/A,FALSE,"Japan 2003";#N/A,#N/A,FALSE,"Sheet2"}</definedName>
    <definedName name="wrn.A_VALUATION." hidden="1">{#N/A,#N/A,FALSE,"A_D";#N/A,#N/A,FALSE,"WACC";#N/A,#N/A,FALSE,"DCF";#N/A,#N/A,FALSE,"A";#N/A,#N/A,FALSE,"LBO";#N/A,#N/A,FALSE,"C";#N/A,#N/A,FALSE,"impd";#N/A,#N/A,FALSE,"comps"}</definedName>
    <definedName name="wrn.abc" hidden="1">{"november95",#N/A,FALSE,"report"}</definedName>
    <definedName name="wrn.Accr_Dil." hidden="1">{#N/A,#N/A,FALSE,"Debt Accr";#N/A,#N/A,FALSE,"Stock Accr";#N/A,#N/A,FALSE,"Debt Stock Accr"}</definedName>
    <definedName name="wrn.Acquisition_matrix." hidden="1">{"Acq_matrix",#N/A,FALSE,"Acquisition Matrix"}</definedName>
    <definedName name="wrn.adj95." hidden="1">{"adj95mult",#N/A,FALSE,"COMPCO";"adj95est",#N/A,FALSE,"COMPCO"}</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ll." hidden="1">{"all",#N/A,FALSE,"report"}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1" hidden="1">{"P&amp;L",#N/A,TRUE,"HC";"P&amp;L Percents",#N/A,TRUE,"P&amp;L";"M&amp;A3 P&amp;L",#N/A,TRUE,"HC";"M&amp;A3 Pipeline",#N/A,TRUE,"HC";"Franchises",#N/A,TRUE,"HC";"CF&amp;BS",#N/A,TRUE,"HC"}</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F." hidden="1">{#N/A,#N/A,FALSE,"2910150-0001";#N/A,#N/A,FALSE,"2910150-0002";#N/A,#N/A,FALSE,"2910150-0004";#N/A,#N/A,FALSE,"1200-2910150"}</definedName>
    <definedName name="wrn.Annual._.Recap." hidden="1">{"Annual Recap",#N/A,FALSE,"Annual Recap"}</definedName>
    <definedName name="wrn.april96." hidden="1">{"april96",#N/A,FALSE,"report"}</definedName>
    <definedName name="wrn.AQUIROR._.DCF." hidden="1">{"AQUIRORDCF",#N/A,FALSE,"Merger consequences";"Acquirorassns",#N/A,FALSE,"Merger consequences"}</definedName>
    <definedName name="wrn.AUGUST." hidden="1">{"p&amp;lSUM",#N/A,FALSE,"P&amp;L";"DETAIL",#N/A,FALSE,"P&amp;L";"% revenue",#N/A,FALSE,"P&amp;L";"% growth",#N/A,FALSE,"P&amp;L";"summary",#N/A,FALSE,"Summary";"chart",#N/A,FALSE,"Summary"}</definedName>
    <definedName name="wrn.august1" hidden="1">{"p&amp;lSUM",#N/A,FALSE,"P&amp;L";"DETAIL",#N/A,FALSE,"P&amp;L";"% revenue",#N/A,FALSE,"P&amp;L";"% growth",#N/A,FALSE,"P&amp;L";"summary",#N/A,FALSE,"Summary";"chart",#N/A,FALSE,"Summary"}</definedName>
    <definedName name="wrn.august96." hidden="1">{"august96",#N/A,FALSE,"report"}</definedName>
    <definedName name="wrn.Aventis._.Analysis." hidden="1">{"P&amp;Lforaventis",#N/A,FALSE,"Franchises";"aventisP&amp;L",#N/A,FALSE,"Franchises";"inflam franchise",#N/A,FALSE,"Franchises"}</definedName>
    <definedName name="wrn.aventis._.analysis.1" hidden="1">{"P&amp;Lforaventis",#N/A,FALSE,"Franchises";"aventisP&amp;L",#N/A,FALSE,"Franchises";"inflam franchise",#N/A,FALSE,"Franchises"}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SAnnualModel." hidden="1">{"BSAnnualModel",#N/A,FALSE,"BS"}</definedName>
    <definedName name="wrn.bullshit1." hidden="1">{#N/A,#N/A,FALSE,"Sheet1";#N/A,#N/A,FALSE,"Summary";#N/A,#N/A,FALSE,"proj1";#N/A,#N/A,FALSE,"proj2"}</definedName>
    <definedName name="wrn.c" hidden="1">{"p&amp;lSUM",#N/A,FALSE,"P&amp;L";"DETAIL",#N/A,FALSE,"P&amp;L";"% revenue",#N/A,FALSE,"P&amp;L";"% growth",#N/A,FALSE,"P&amp;L";"summary",#N/A,FALSE,"Summary";"chart",#N/A,FALSE,"Summary"}</definedName>
    <definedName name="wrn.CFSModel." hidden="1">{"CFSModel",#N/A,FALSE,"CFS"}</definedName>
    <definedName name="wrn.Charts." hidden="1">{"Revenue chart",#N/A,FALSE,"Charts";"ExpenseChart",#N/A,FALSE,"Charts";"Netincomechart",#N/A,FALSE,"Charts"}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hidden="1">{#N/A,#N/A,FALSE,"INPUTS";#N/A,#N/A,FALSE,"PROFORMA BSHEET";#N/A,#N/A,FALSE,"COMBINED";#N/A,#N/A,FALSE,"HIGH YIELD";#N/A,#N/A,FALSE,"COMB_GRAPHS"}</definedName>
    <definedName name="wrn.compco." hidden="1">{"mult96",#N/A,FALSE,"PETCOMP";"est96",#N/A,FALSE,"PETCOMP";"mult95",#N/A,FALSE,"PETCOMP";"est95",#N/A,FALSE,"PETCOMP";"multltm",#N/A,FALSE,"PETCOMP";"resultltm",#N/A,FALSE,"PETCOMP"}</definedName>
    <definedName name="wrn.Complete._.Report." hidden="1">{#N/A,#N/A,FALSE,"Assumptions";#N/A,#N/A,FALSE,"Proforma IS";#N/A,#N/A,FALSE,"Cash Flows RLP";#N/A,#N/A,FALSE,"IRR";#N/A,#N/A,FALSE,"New Depr Sch-150% DB";#N/A,#N/A,FALSE,"Comments"}</definedName>
    <definedName name="wrn.contributory._.asset._.charges." hidden="1">{"contributory1",#N/A,FALSE,"Contributory Assets Detail";"contributory2",#N/A,FALSE,"Contributory Assets Detail"}</definedName>
    <definedName name="wrn.Core." hidden="1">{"MAJCore",#N/A,FALSE,"MAJ";"BISCore",#N/A,FALSE,"BIS";"SMECore",#N/A,FALSE,"SME";"SMMCore",#N/A,FALSE,"SMM";"SMPCore",#N/A,FALSE,"SMP";"SMCCore",#N/A,FALSE,"SMC";"SMRCore",#N/A,FALSE,"SMR";"CNSCore",#N/A,FALSE,"CNS";"REGCore",#N/A,FALSE,"REG"}</definedName>
    <definedName name="wrn.cotop." hidden="1">{"ReportTop",#N/A,FALSE,"report top"}</definedName>
    <definedName name="wrn.crom._.4cast." hidden="1">{#N/A,#N/A,TRUE,"TOTAL Roll-up";#N/A,#N/A,TRUE,"Launch timing assumptions"}</definedName>
    <definedName name="wrn.croma._.forecast." hidden="1">{#N/A,#N/A,TRUE,"TOTAL Roll-up";#N/A,#N/A,TRUE,"Launch timing assumptions"}</definedName>
    <definedName name="wrn.CUTS." hidden="1">{"REVENUE1",#N/A,FALSE,"REVPIVOT";"EXP1",#N/A,FALSE,"REVPIVOT";"EXP2",#N/A,FALSE,"REVPIVOT";"EXP4",#N/A,FALSE,"REVPIVOT";"EXP5",#N/A,FALSE,"REVPIVOT";"PIPELINE1",#N/A,FALSE,"REVPIVOT";"PIPELINE3",#N/A,FALSE,"REVPIVOT";"PIPELINE4",#N/A,FALSE,"REVPIVOT";"hc1",#N/A,FALSE,"REVPIVOT";"hc2",#N/A,FALSE,"REVPIVOT";"HC3",#N/A,FALSE,"REVPIVOT"}</definedName>
    <definedName name="wrn.DCF." hidden="1">{"DCF1",#N/A,FALSE,"SIERRA DCF";"MATRIX1",#N/A,FALSE,"SIERRA DCF"}</definedName>
    <definedName name="wrn.DCF_Terminal_Value_qchm." hidden="1">{"qchm_dcf",#N/A,FALSE,"QCHMDCF2";"qchm_terminal",#N/A,FALSE,"QCHMDCF2"}</definedName>
    <definedName name="wrn.december95." hidden="1">{"december95",#N/A,FALSE,"report"}</definedName>
    <definedName name="wrn.documentation." hidden="1">{"documentation1",#N/A,FALSE,"Documentation";"documentation2",#N/A,FALSE,"Documentation"}</definedName>
    <definedName name="wrn.EAC._.Reports." hidden="1">{#N/A,#N/A,FALSE,"SUMMARY";#N/A,#N/A,FALSE,"EAC96PLA";#N/A,#N/A,FALSE,"EAC96EXT";#N/A,#N/A,FALSE,"FINSUM";#N/A,#N/A,FALSE,"1996PL";#N/A,#N/A,FALSE,"RISKOP3rd";#N/A,#N/A,FALSE,"RISKTOTAL";#N/A,#N/A,FALSE,"STAFFING";#N/A,#N/A,FALSE,"Balsht"}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Falcons._.Divisions." hidden="1">{#N/A,#N/A,TRUE,"Fiber_Optic_Cable_Input ";#N/A,#N/A,TRUE,"Specialty_Fiber_Devices_Input";#N/A,#N/A,TRUE,"Optical_Fiber_Apparatus_Input"}</definedName>
    <definedName name="wrn.Falcons._.Standalone." hidden="1">{#N/A,#N/A,TRUE,"Falcons_Standalone";#N/A,#N/A,TRUE,"Target_Input";#N/A,#N/A,TRUE,"Target_Calendarized"}</definedName>
    <definedName name="wrn.february96." hidden="1">{"february96",#N/A,FALSE,"report"}</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C._.Detail." hidden="1">{#N/A,#N/A,TRUE,"FOC_Product_Assumptions"}</definedName>
    <definedName name="wrn.fpkg." hidden="1">{#N/A,#N/A,FALSE,"Consolidated Shipley";#N/A,#N/A,FALSE,"Consolidated PWB";#N/A,#N/A,FALSE,"Consolidated Micro"}</definedName>
    <definedName name="wrn.fpkg1" hidden="1">{#N/A,#N/A,FALSE,"Consolidated Shipley";#N/A,#N/A,FALSE,"Consolidated PWB";#N/A,#N/A,FALSE,"Consolidated Micro"}</definedName>
    <definedName name="wrn.fpkg2" hidden="1">{#N/A,#N/A,FALSE,"Consolidated Shipley";#N/A,#N/A,FALSE,"Consolidated PWB";#N/A,#N/A,FALSE,"Consolidated Micro"}</definedName>
    <definedName name="wrn.fpkg3" hidden="1">{#N/A,#N/A,FALSE,"Consolidated Shipley";#N/A,#N/A,FALSE,"Consolidated PWB";#N/A,#N/A,FALSE,"Consolidated Micro"}</definedName>
    <definedName name="wrn.GRAPHS." hidden="1">{#N/A,#N/A,FALSE,"ACQ_GRAPHS";#N/A,#N/A,FALSE,"T_1 GRAPHS";#N/A,#N/A,FALSE,"T_2 GRAPHS";#N/A,#N/A,FALSE,"COMB_GRAPHS"}</definedName>
    <definedName name="wrn.gross._.margin._.detail." hidden="1">{"gross_margin1",#N/A,FALSE,"Gross Margin Detail";"gross_margin2",#N/A,FALSE,"Gross Margin Detail"}</definedName>
    <definedName name="wrn.HEAT." hidden="1">{#N/A,#N/A,FALSE,"Heat";#N/A,#N/A,FALSE,"DCF";#N/A,#N/A,FALSE,"LBO";#N/A,#N/A,FALSE,"A";#N/A,#N/A,FALSE,"C";#N/A,#N/A,FALSE,"impd";#N/A,#N/A,FALSE,"Accr-Dilu"}</definedName>
    <definedName name="wrn.historical._.performance." hidden="1">{"historical acquirer",#N/A,FALSE,"Historical Performance";"historical target",#N/A,FALSE,"Historical Performance"}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AnnualModel." hidden="1">{"AnnModel",#N/A,FALSE,"IS"}</definedName>
    <definedName name="wrn.ISCG._.model." hidden="1">{#N/A,#N/A,FALSE,"Second";#N/A,#N/A,FALSE,"ownership";#N/A,#N/A,FALSE,"Valuation";#N/A,#N/A,FALSE,"Eqiv";#N/A,#N/A,FALSE,"Mults";#N/A,#N/A,FALSE,"ISCG Graphics"}</definedName>
    <definedName name="wrn.ISQtrModel." hidden="1">{"QtrModel",#N/A,FALSE,"IS"}</definedName>
    <definedName name="wrn.january96." hidden="1">{"january96",#N/A,FALSE,"report"}</definedName>
    <definedName name="wrn.Jeff._.Standalone." hidden="1">{#N/A,#N/A,TRUE,"Acquirer_Cases_Input";#N/A,#N/A,TRUE,"Acquirer_Input";#N/A,#N/A,TRUE,"Acquirer"}</definedName>
    <definedName name="wrn.JODM._.Graphs." hidden="1">{"graph",#N/A,FALSE,"WWJU";"graph",#N/A,FALSE,"WWSEM";"graph",#N/A,FALSE,"GOMJU";"graph",#N/A,FALSE,"GOMSEM";"graph",#N/A,FALSE,"NSJU";"graph",#N/A,FALSE,"NSSEM";"graph",#N/A,FALSE,"WAJU";"graph",#N/A,FALSE,"STOCKPRI";"graph",#N/A,FALSE,"CFTEV";"graph",#N/A,FALSE,"NAV-RCV";"graph",#N/A,FALSE,"CRUDEWW"}</definedName>
    <definedName name="wrn.july96." hidden="1">{"july96",#N/A,FALSE,"report"}</definedName>
    <definedName name="wrn.june96." hidden="1">{"june96",#N/A,FALSE,"report"}</definedName>
    <definedName name="wrn.LBO._.Summary." hidden="1">{"LBO Summary",#N/A,FALSE,"Summary"}</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o._.Report._.Set." hidden="1">{#N/A,#N/A,FALSE,"Published Rpt"}</definedName>
    <definedName name="wrn.march96." hidden="1">{"march96",#N/A,FALSE,"report"}</definedName>
    <definedName name="wrn.may96." hidden="1">{"may96",#N/A,FALSE,"report"}</definedName>
    <definedName name="wrn.merge." hidden="1">{#N/A,#N/A,FALSE,"IPO";#N/A,#N/A,FALSE,"DCF";#N/A,#N/A,FALSE,"LBO";#N/A,#N/A,FALSE,"MULT_VAL";#N/A,#N/A,FALSE,"Status Quo";#N/A,#N/A,FALSE,"Recap"}</definedName>
    <definedName name="wrn.model." hidden="1">{"page1",#N/A,FALSE,"GIRLBO";"page2",#N/A,FALSE,"GIRLBO";"page3",#N/A,FALSE,"GIRLBO";"page4",#N/A,FALSE,"GIRLBO";"page5",#N/A,FALSE,"GIRLBO"}</definedName>
    <definedName name="wrn.Monthly._.Financials." hidden="1">{#N/A,#N/A,FALSE,"PL OCT";#N/A,#N/A,FALSE,"YTD";#N/A,#N/A,FALSE,"Trend03";#N/A,#N/A,FALSE,"03 BalSheet";#N/A,#N/A,FALSE,"Cash Flow"}</definedName>
    <definedName name="wrn.MyTestReport." hidden="1">{"Alberta",#N/A,FALSE,"Pivot Data";#N/A,#N/A,FALSE,"Pivot Data";"HiddenColumns",#N/A,FALSE,"Pivot Data"}</definedName>
    <definedName name="wrn.NEW." hidden="1">{"Total P&amp;L",#N/A,FALSE,"P&amp;LTECH";"SUMPIPELINE",#N/A,FALSE,"P&amp;LTECH";"REVENUE",#N/A,FALSE,"P&amp;LTECH";"r&amp;d",#N/A,FALSE,"P&amp;LTECH"}</definedName>
    <definedName name="wrn.newest." hidden="1">{#N/A,#N/A,TRUE,"TS";#N/A,#N/A,TRUE,"Combo";#N/A,#N/A,TRUE,"FAIR";#N/A,#N/A,TRUE,"RBC";#N/A,#N/A,TRUE,"xxxx"}</definedName>
    <definedName name="wrn.NewWave." hidden="1">{"MAJNew",#N/A,FALSE,"MAJ";"BISNew",#N/A,FALSE,"BIS";"SMENew",#N/A,FALSE,"SME";"SMPNew",#N/A,FALSE,"SMP";"SMMNew",#N/A,FALSE,"SMM";"SMCNew",#N/A,FALSE,"SMC";"SMRNew",#N/A,FALSE,"SMR";"CNSNew",#N/A,FALSE,"CNS";"REGNew",#N/A,FALSE,"REG";"ALTNew",#N/A,FALSE,"ALT";"PMTNew",#N/A,FALSE,"PMT";"CPSNew",#N/A,FALSE,"CPS";"SERNew",#N/A,FALSE,"SER";"TATNew",#N/A,FALSE,"TAT";"BILNew",#N/A,FALSE,"BIL";"FINNew",#N/A,FALSE,"FIN";"HRSNew",#N/A,FALSE,"HRS";"CEONew",#N/A,FALSE,"CEO";"STPnew",#N/A,FALSE,"STP";"ELINew",#N/A,FALSE,"ELI";"OTHNew",#N/A,FALSE,"OTH";"CTGNew",#N/A,FALSE,"CTG";"CENNew",#N/A,FALSE,"CEN";"TOTNew",#N/A,FALSE,"TOT"}</definedName>
    <definedName name="wrn.november95." hidden="1">{"november95",#N/A,FALSE,"report"}</definedName>
    <definedName name="wrn.october95." hidden="1">{"october95",#N/A,FALSE,"report"}</definedName>
    <definedName name="wrn.OUTPUT." hidden="1">{"DCF","UPSIDE CASE",FALSE,"Sheet1";"DCF","BASE CASE",FALSE,"Sheet1";"DCF","DOWNSIDE CASE",FALSE,"Sheet1"}</definedName>
    <definedName name="wrn.Package." hidden="1">{#N/A,#N/A,FALSE,"PL NOV";#N/A,#N/A,FALSE,"Trend00";#N/A,#N/A,FALSE,"YTD";#N/A,#N/A,FALSE,"00 balSheet";#N/A,#N/A,FALSE,"Bank BalSh"}</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t._.1."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cing._.98." hidden="1">{#N/A,#N/A,FALSE,"ww";#N/A,#N/A,FALSE,"usa";#N/A,#N/A,FALSE,"canada";#N/A,#N/A,FALSE,"eu";#N/A,#N/A,FALSE,"cemea";#N/A,#N/A,FALSE,"asia";#N/A,#N/A,FALSE,"la"}</definedName>
    <definedName name="wrn.print." hidden="1">{#N/A,#N/A,FALSE,"SUM";#N/A,#N/A,FALSE,"Holding Cost ";#N/A,#N/A,FALSE,"2000 &amp; C3D";#N/A,#N/A,FALSE,"Disposal Costs";#N/A,#N/A,FALSE,"WIP";#N/A,#N/A,FALSE,"Fin Goods"}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s2." hidden="1">{"NI2",#N/A,FALSE,"Sum - Exp";"Revenue2",#N/A,FALSE,"Sum - Exp";"Headcount2",#N/A,FALSE,"Sum - Exp";"Pipeline2",#N/A,FALSE,"Sum - Exp";"expenses",#N/A,FALSE,"Sum - Exp"}</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oll._.Up._.Fields." hidden="1">{"Total",#N/A,FALSE,"Six Fields";"PDP",#N/A,FALSE,"Six Fields";"PNP",#N/A,FALSE,"Six Fields";"PUD",#N/A,FALSE,"Six Fields";"Prob",#N/A,FALSE,"Six Fields"}</definedName>
    <definedName name="wrn.september96." hidden="1">{"september96",#N/A,FALSE,"report"}</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hidden="1">{"Co1statements",#N/A,FALSE,"Cmpy1";"Co2statement",#N/A,FALSE,"Cmpy2";"co1pm",#N/A,FALSE,"Co1PM";"co2PM",#N/A,FALSE,"Co2PM";"value",#N/A,FALSE,"value";"opco",#N/A,FALSE,"NewSparkle";"adjusts",#N/A,FALSE,"Adjustments"}</definedName>
    <definedName name="wrn.Summary." hidden="1">{"Sum1",#N/A,FALSE,"Reserve Report";"Sum2",#N/A,FALSE,"Reserve Report";"Sum3",#N/A,FALSE,"Reserve Report";"Sum4",#N/A,FALSE,"Reserve Report"}</definedName>
    <definedName name="wrn.summary.." hidden="1">{#N/A,#N/A,TRUE,"KEY DATA";#N/A,#N/A,TRUE,"KEY DATA Base Case";#N/A,#N/A,TRUE,"JULY";#N/A,#N/A,TRUE,"AUG";#N/A,#N/A,TRUE,"SEPT";#N/A,#N/A,TRUE,"3Q"}</definedName>
    <definedName name="wrn.summary._.schedules." hidden="1">{"summary1",#N/A,FALSE,"Summary of Values";"summary2",#N/A,FALSE,"Summary of Values"}</definedName>
    <definedName name="wrn.Supplemental_Reports." hidden="1">{#N/A,#N/A,FALSE,"Report Data";#N/A,#N/A,FALSE,"COMP POOL";#N/A,#N/A,FALSE,"COMP POOL NB95";#N/A,#N/A,FALSE,"COMP POOL NB94"}</definedName>
    <definedName name="wrn.TARGET._.DCF." hidden="1">{"targetdcf",#N/A,FALSE,"Merger consequences";"TARGETASSU",#N/A,FALSE,"Merger consequences";"TERMINAL VALUE",#N/A,FALSE,"Merger consequences"}</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heWholeEnchilada." hidden="1">{"CSheet",#N/A,FALSE,"C";"SmCap",#N/A,FALSE,"VAL1";"GulfCoast",#N/A,FALSE,"VAL1";"nav",#N/A,FALSE,"NAV";"Summary",#N/A,FALSE,"NAV"}</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MAJTotal",#N/A,FALSE,"MAJ";"BISTotal",#N/A,FALSE,"BIS";"SMETotal",#N/A,FALSE,"SME";"SMMTotal",#N/A,FALSE,"SMM";"SMPTotal",#N/A,FALSE,"SMP";"SMCTotal",#N/A,FALSE,"SMC";"SMRTotal",#N/A,FALSE,"SMR";"CNSTotal",#N/A,FALSE,"CNS";"REGTotal",#N/A,FALSE,"REG";"ALTTotal",#N/A,FALSE,"ALT";"PMTTotal",#N/A,FALSE,"PMT";"CPSTotal",#N/A,FALSE,"CPS";"SERTotal",#N/A,FALSE,"SER";"TATTotal",#N/A,FALSE,"TAT";"BILTotal",#N/A,FALSE,"BIL";"FINTotal",#N/A,FALSE,"FIN";"HRSTotal",#N/A,FALSE,"HRS";"CEOTotal",#N/A,FALSE,"CEO";"STPTotal",#N/A,FALSE,"STP";"ELITotal",#N/A,FALSE,"ELI";"OTHTotal",#N/A,FALSE,"OTH";"CTGTotal",#N/A,FALSE,"CTG";"CENTotal",#N/A,FALSE,"CEN";"TOTTotal",#N/A,FALSE,"TOT"}</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hidden="1">{"MAJTotal",#N/A,FALSE,"MAJ";"BISTotal",#N/A,FALSE,"BIS";"SMETotal",#N/A,FALSE,"SME";"SMMTotal",#N/A,FALSE,"SMM";"SMPTotal",#N/A,FALSE,"SMP";"SMCTotal",#N/A,FALSE,"SMC";"SMRTotal",#N/A,FALSE,"SMR";"CNSTotal",#N/A,FALSE,"CNS";"REGTotal",#N/A,FALSE,"REG";"ALTTotal",#N/A,FALSE,"ALT";"PMTTotal",#N/A,FALSE,"PMT";"CPSTotal",#N/A,FALSE,"CPS";"SERTotal",#N/A,FALSE,"SER";"TATTotal",#N/A,FALSE,"TAT";"BILTotal",#N/A,FALSE,"BIL";"FINTotal",#N/A,FALSE,"FIN";"HRSTotal",#N/A,FALSE,"HRS";"CEOTotal",#N/A,FALSE,"CEO";"STPTotal",#N/A,FALSE,"STP";"ELITotal",#N/A,FALSE,"ELI";"OTHTotal",#N/A,FALSE,"OTH";"CTGTotal",#N/A,FALSE,"CTG";"CENTotal",#N/A,FALSE,"CEN";"TOTTotal",#N/A,FALSE,"TOT"}</definedName>
    <definedName name="wrn.trademark._.and._.trade._.name." hidden="1">{"trademark1",#N/A,FALSE,"Trademark(s) and Trade Name(s)"}</definedName>
    <definedName name="wrn.TransPrcd_123." hidden="1">{#N/A,#N/A,TRUE,"TransPrcd 1";#N/A,#N/A,TRUE,"TransPrcd 2";#N/A,#N/A,TRUE,"TransPrcd 3"}</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icor." hidden="1">{#N/A,#N/A,FALSE,"FACTSHEETS";#N/A,#N/A,FALSE,"pump";#N/A,#N/A,FALSE,"filter"}</definedName>
    <definedName name="wrn.work._.paper._.shcedules." hidden="1">{"summary1",#N/A,FALSE,"Summary of Values";"summary2",#N/A,FALSE,"Summary of Values";"weighted average returns",#N/A,FALSE,"WACC and WARA";"fixed asset detail",#N/A,FALSE,"Fixed Asset Detail"}</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w" hidden="1">{"february96",#N/A,FALSE,"report"}</definedName>
    <definedName name="wwww"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x" hidden="1">{"february96",#N/A,FALSE,"report"}</definedName>
    <definedName name="xdfsd" hidden="1">{#N/A,#N/A,TRUE,"Acquirer_Cases_Input";#N/A,#N/A,TRUE,"Acquirer_Input";#N/A,#N/A,TRUE,"Acquirer"}</definedName>
    <definedName name="xx" hidden="1">{"summary1",#N/A,FALSE,"Summary of Values";"summary2",#N/A,FALSE,"Summary of Values"}</definedName>
    <definedName name="xxx" hidden="1">{"developed valuation",#N/A,FALSE,"Valuation Analysis";"developed income statement",#N/A,FALSE,"Abbreviated Income Statement";"inprocess valuation",#N/A,FALSE,"Valuation Analysis";"inprocess income statement",#N/A,FALSE,"Abbreviated Income Statement"}</definedName>
    <definedName name="xxxx" hidden="1">{"CSheet",#N/A,FALSE,"C";"SmCap",#N/A,FALSE,"VAL1";"GulfCoast",#N/A,FALSE,"VAL1";"nav",#N/A,FALSE,"NAV";"Summary",#N/A,FALSE,"NAV"}</definedName>
    <definedName name="xxxxx" hidden="1">{"Total",#N/A,FALSE,"Total Proved";"PDP",#N/A,FALSE,"Total Proved";"PNP",#N/A,FALSE,"Total Proved";"PUD",#N/A,FALSE,"Total Proved"}</definedName>
    <definedName name="xxxxxx" hidden="1">{"Total",#N/A,FALSE,"Total Proved + Probable";"PDP",#N/A,FALSE,"Total Proved + Probable";"PNP",#N/A,FALSE,"Total Proved + Probable";"PUD",#N/A,FALSE,"Total Proved + Probable";"Prob",#N/A,FALSE,"Total Proved + Probable"}</definedName>
    <definedName name="xxxxxxx" hidden="1">{"trademark1",#N/A,FALSE,"Trademark(s) and Trade Name(s)"}</definedName>
    <definedName name="xxxxxxxx" hidden="1">{"histincome",#N/A,FALSE,"hyfins";"closing balance",#N/A,FALSE,"hyfins"}</definedName>
    <definedName name="xyz" hidden="1">{"histincome",#N/A,FALSE,"hyfins";"closing balance",#N/A,FALSE,"hyfins"}</definedName>
    <definedName name="y" hidden="1">{"november95",#N/A,FALSE,"report"}</definedName>
    <definedName name="yb" hidden="1">{#N/A,#N/A,FALSE,"ww";#N/A,#N/A,FALSE,"usa";#N/A,#N/A,FALSE,"canada";#N/A,#N/A,FALSE,"eu";#N/A,#N/A,FALSE,"cemea";#N/A,#N/A,FALSE,"asia";#N/A,#N/A,FALSE,"la"}</definedName>
    <definedName name="ybg" hidden="1">{"november95",#N/A,FALSE,"report"}</definedName>
    <definedName name="youh" hidden="1">{#N/A,#N/A,FALSE,"AD_Purchase";#N/A,#N/A,FALSE,"Credit";#N/A,#N/A,FALSE,"PF Acquisition";#N/A,#N/A,FALSE,"PF Offering"}</definedName>
    <definedName name="YTDVarianceKey">"Object 4"</definedName>
    <definedName name="ytr" hidden="1">{"february96",#N/A,FALSE,"report"}</definedName>
    <definedName name="yy" hidden="1">{#N/A,#N/A,TRUE,"Acquirer_Cases_Input";#N/A,#N/A,TRUE,"Acquirer_Input";#N/A,#N/A,TRUE,"Acquirer"}</definedName>
    <definedName name="yyy" hidden="1">{#N/A,#N/A,TRUE,"Fiber_Optic_Cable_Input ";#N/A,#N/A,TRUE,"Specialty_Fiber_Devices_Input";#N/A,#N/A,TRUE,"Optical_Fiber_Apparatus_Input"}</definedName>
    <definedName name="yyyyy"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z" hidden="1">{"february96",#N/A,FALSE,"report"}</definedName>
    <definedName name="zdf" hidden="1">{#N/A,#N/A,TRUE,"Falcons_Standalone";#N/A,#N/A,TRUE,"Target_Input";#N/A,#N/A,TRUE,"Target_Calendarized"}</definedName>
    <definedName name="zz" hidden="1">{"summary1",#N/A,FALSE,"Summary of Values";"summary2",#N/A,FALSE,"Summary of Values";"weighted average returns",#N/A,FALSE,"WACC and WARA";"fixed asset detail",#N/A,FALSE,"Fixed Asset Detail"}</definedName>
    <definedName name="zzz" hidden="1">{#N/A,#N/A,TRUE,"GEM Total";#N/A,#N/A,TRUE,"Final Assembly";#N/A,#N/A,TRUE,"Cleaning";#N/A,#N/A,TRUE,"Schooping,Clearing";#N/A,#N/A,TRUE,"Winding"}</definedName>
    <definedName name="zzz.." hidden="1">{#N/A,#N/A,TRUE,"GEM Total";#N/A,#N/A,TRUE,"Final Assembly";#N/A,#N/A,TRUE,"Cleaning";#N/A,#N/A,TRUE,"Schooping,Clearing";#N/A,#N/A,TRUE,"Winding"}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3" i="3" l="1"/>
  <c r="O123" i="3"/>
  <c r="N123" i="3"/>
  <c r="M123" i="3"/>
  <c r="L123" i="3"/>
  <c r="K123" i="3"/>
  <c r="J123" i="3"/>
  <c r="I123" i="3"/>
  <c r="H123" i="3"/>
  <c r="G123" i="3"/>
  <c r="P122" i="3"/>
  <c r="O122" i="3"/>
  <c r="N122" i="3"/>
  <c r="M122" i="3"/>
  <c r="L122" i="3"/>
  <c r="K122" i="3"/>
  <c r="J122" i="3"/>
  <c r="I122" i="3"/>
  <c r="H122" i="3"/>
  <c r="G122" i="3"/>
  <c r="P110" i="3"/>
  <c r="O110" i="3"/>
  <c r="N110" i="3"/>
  <c r="M110" i="3"/>
  <c r="L110" i="3"/>
  <c r="K110" i="3"/>
  <c r="J110" i="3"/>
  <c r="I110" i="3"/>
  <c r="H110" i="3"/>
  <c r="G110" i="3"/>
  <c r="I105" i="3"/>
  <c r="I106" i="3" s="1"/>
  <c r="G105" i="3"/>
  <c r="G106" i="3" s="1"/>
  <c r="P104" i="3"/>
  <c r="O104" i="3"/>
  <c r="N104" i="3"/>
  <c r="M104" i="3"/>
  <c r="L104" i="3"/>
  <c r="L105" i="3" s="1"/>
  <c r="L106" i="3" s="1"/>
  <c r="K104" i="3"/>
  <c r="K105" i="3" s="1"/>
  <c r="K106" i="3" s="1"/>
  <c r="J104" i="3"/>
  <c r="J105" i="3" s="1"/>
  <c r="J106" i="3" s="1"/>
  <c r="I104" i="3"/>
  <c r="H104" i="3"/>
  <c r="H105" i="3" s="1"/>
  <c r="H106" i="3" s="1"/>
  <c r="G104" i="3"/>
  <c r="G101" i="3"/>
  <c r="G125" i="3" s="1"/>
  <c r="O100" i="3"/>
  <c r="P99" i="3"/>
  <c r="O99" i="3"/>
  <c r="N99" i="3"/>
  <c r="M99" i="3"/>
  <c r="M101" i="3" s="1"/>
  <c r="L99" i="3"/>
  <c r="K99" i="3"/>
  <c r="K101" i="3" s="1"/>
  <c r="J99" i="3"/>
  <c r="J101" i="3" s="1"/>
  <c r="I99" i="3"/>
  <c r="I101" i="3" s="1"/>
  <c r="H99" i="3"/>
  <c r="G99" i="3"/>
  <c r="N92" i="3"/>
  <c r="N91" i="3"/>
  <c r="N90" i="3"/>
  <c r="P105" i="3" s="1"/>
  <c r="P106" i="3" s="1"/>
  <c r="N89" i="3"/>
  <c r="G87" i="3"/>
  <c r="G86" i="3"/>
  <c r="G85" i="3"/>
  <c r="H85" i="3" s="1"/>
  <c r="G84" i="3"/>
  <c r="H84" i="3" s="1"/>
  <c r="N83" i="3"/>
  <c r="H83" i="3"/>
  <c r="G83" i="3"/>
  <c r="N82" i="3"/>
  <c r="G82" i="3"/>
  <c r="N81" i="3"/>
  <c r="P101" i="3" s="1"/>
  <c r="G81" i="3"/>
  <c r="H81" i="3" s="1"/>
  <c r="N80" i="3"/>
  <c r="G80" i="3"/>
  <c r="G79" i="3"/>
  <c r="H82" i="3" s="1"/>
  <c r="N72" i="3"/>
  <c r="I70" i="3"/>
  <c r="J70" i="3" s="1"/>
  <c r="K70" i="3" s="1"/>
  <c r="L70" i="3" s="1"/>
  <c r="M70" i="3" s="1"/>
  <c r="N70" i="3" s="1"/>
  <c r="O70" i="3" s="1"/>
  <c r="P70" i="3" s="1"/>
  <c r="H70" i="3"/>
  <c r="H69" i="3"/>
  <c r="I69" i="3" s="1"/>
  <c r="P67" i="3"/>
  <c r="P68" i="3" s="1"/>
  <c r="K67" i="3"/>
  <c r="K68" i="3" s="1"/>
  <c r="P65" i="3"/>
  <c r="O65" i="3"/>
  <c r="N65" i="3"/>
  <c r="M65" i="3"/>
  <c r="L65" i="3"/>
  <c r="K65" i="3"/>
  <c r="J65" i="3"/>
  <c r="I65" i="3"/>
  <c r="H65" i="3"/>
  <c r="G65" i="3"/>
  <c r="P64" i="3"/>
  <c r="O64" i="3"/>
  <c r="N64" i="3"/>
  <c r="M64" i="3"/>
  <c r="L64" i="3"/>
  <c r="K64" i="3"/>
  <c r="J64" i="3"/>
  <c r="I64" i="3"/>
  <c r="H64" i="3"/>
  <c r="G64" i="3"/>
  <c r="F61" i="3"/>
  <c r="F62" i="3" s="1"/>
  <c r="P60" i="3"/>
  <c r="O60" i="3"/>
  <c r="N60" i="3"/>
  <c r="M60" i="3"/>
  <c r="L60" i="3"/>
  <c r="K60" i="3"/>
  <c r="J60" i="3"/>
  <c r="I60" i="3"/>
  <c r="H60" i="3"/>
  <c r="G60" i="3"/>
  <c r="O47" i="3"/>
  <c r="J47" i="3"/>
  <c r="I47" i="3"/>
  <c r="H47" i="3"/>
  <c r="G47" i="3"/>
  <c r="S46" i="3"/>
  <c r="Q37" i="3"/>
  <c r="Q36" i="3"/>
  <c r="Q35" i="3"/>
  <c r="Q34" i="3"/>
  <c r="C34" i="3"/>
  <c r="C33" i="3"/>
  <c r="L31" i="3"/>
  <c r="J31" i="3"/>
  <c r="P30" i="3"/>
  <c r="O30" i="3"/>
  <c r="N30" i="3"/>
  <c r="M30" i="3"/>
  <c r="L30" i="3"/>
  <c r="K30" i="3"/>
  <c r="J30" i="3"/>
  <c r="I30" i="3"/>
  <c r="H30" i="3"/>
  <c r="G30" i="3"/>
  <c r="Q30" i="3" s="1"/>
  <c r="P29" i="3"/>
  <c r="O29" i="3"/>
  <c r="Q29" i="3" s="1"/>
  <c r="N29" i="3"/>
  <c r="M29" i="3"/>
  <c r="L29" i="3"/>
  <c r="K29" i="3"/>
  <c r="J29" i="3"/>
  <c r="I29" i="3"/>
  <c r="H29" i="3"/>
  <c r="G29" i="3"/>
  <c r="P28" i="3"/>
  <c r="P47" i="3" s="1"/>
  <c r="O28" i="3"/>
  <c r="N28" i="3"/>
  <c r="N47" i="3" s="1"/>
  <c r="M28" i="3"/>
  <c r="M47" i="3" s="1"/>
  <c r="L28" i="3"/>
  <c r="L47" i="3" s="1"/>
  <c r="K28" i="3"/>
  <c r="K47" i="3" s="1"/>
  <c r="Q47" i="3" s="1"/>
  <c r="J28" i="3"/>
  <c r="I28" i="3"/>
  <c r="H28" i="3"/>
  <c r="G28" i="3"/>
  <c r="Q27" i="3"/>
  <c r="P25" i="3"/>
  <c r="O25" i="3"/>
  <c r="N25" i="3"/>
  <c r="M25" i="3"/>
  <c r="L25" i="3"/>
  <c r="K25" i="3"/>
  <c r="J25" i="3"/>
  <c r="I25" i="3"/>
  <c r="H25" i="3"/>
  <c r="Q25" i="3" s="1"/>
  <c r="G25" i="3"/>
  <c r="P23" i="3"/>
  <c r="O23" i="3"/>
  <c r="N23" i="3"/>
  <c r="M23" i="3"/>
  <c r="L23" i="3"/>
  <c r="K23" i="3"/>
  <c r="J23" i="3"/>
  <c r="I23" i="3"/>
  <c r="H23" i="3"/>
  <c r="G23" i="3"/>
  <c r="Q23" i="3" s="1"/>
  <c r="P22" i="3"/>
  <c r="O22" i="3"/>
  <c r="N22" i="3"/>
  <c r="M22" i="3"/>
  <c r="L22" i="3"/>
  <c r="K22" i="3"/>
  <c r="J22" i="3"/>
  <c r="I22" i="3"/>
  <c r="I67" i="3" s="1"/>
  <c r="I68" i="3" s="1"/>
  <c r="H22" i="3"/>
  <c r="G22" i="3"/>
  <c r="P20" i="3"/>
  <c r="O20" i="3"/>
  <c r="N20" i="3"/>
  <c r="M20" i="3"/>
  <c r="L20" i="3"/>
  <c r="K20" i="3"/>
  <c r="J20" i="3"/>
  <c r="I20" i="3"/>
  <c r="H20" i="3"/>
  <c r="G20" i="3"/>
  <c r="G67" i="3" s="1"/>
  <c r="P19" i="3"/>
  <c r="O19" i="3"/>
  <c r="O67" i="3" s="1"/>
  <c r="O68" i="3" s="1"/>
  <c r="N19" i="3"/>
  <c r="N67" i="3" s="1"/>
  <c r="N68" i="3" s="1"/>
  <c r="M19" i="3"/>
  <c r="M67" i="3" s="1"/>
  <c r="M68" i="3" s="1"/>
  <c r="L19" i="3"/>
  <c r="L67" i="3" s="1"/>
  <c r="L68" i="3" s="1"/>
  <c r="K19" i="3"/>
  <c r="J19" i="3"/>
  <c r="J67" i="3" s="1"/>
  <c r="J68" i="3" s="1"/>
  <c r="I19" i="3"/>
  <c r="H19" i="3"/>
  <c r="Q19" i="3" s="1"/>
  <c r="G19" i="3"/>
  <c r="M16" i="3"/>
  <c r="L16" i="3"/>
  <c r="K16" i="3"/>
  <c r="N13" i="3"/>
  <c r="L13" i="3"/>
  <c r="O10" i="3"/>
  <c r="N10" i="3"/>
  <c r="M10" i="3"/>
  <c r="L10" i="3"/>
  <c r="N88" i="2"/>
  <c r="P16" i="3" s="1"/>
  <c r="M88" i="2"/>
  <c r="O16" i="3" s="1"/>
  <c r="L88" i="2"/>
  <c r="N16" i="3" s="1"/>
  <c r="K88" i="2"/>
  <c r="J88" i="2"/>
  <c r="I88" i="2"/>
  <c r="H88" i="2"/>
  <c r="J16" i="3" s="1"/>
  <c r="G88" i="2"/>
  <c r="I16" i="3" s="1"/>
  <c r="F88" i="2"/>
  <c r="H16" i="3" s="1"/>
  <c r="E88" i="2"/>
  <c r="G16" i="3" s="1"/>
  <c r="N87" i="2"/>
  <c r="M87" i="2"/>
  <c r="L87" i="2"/>
  <c r="K87" i="2"/>
  <c r="J87" i="2"/>
  <c r="I87" i="2"/>
  <c r="H87" i="2"/>
  <c r="O87" i="2" s="1"/>
  <c r="G87" i="2"/>
  <c r="F87" i="2"/>
  <c r="E87" i="2"/>
  <c r="N86" i="2"/>
  <c r="P13" i="3" s="1"/>
  <c r="M86" i="2"/>
  <c r="M84" i="2" s="1"/>
  <c r="O7" i="3" s="1"/>
  <c r="L86" i="2"/>
  <c r="L84" i="2" s="1"/>
  <c r="K86" i="2"/>
  <c r="M13" i="3" s="1"/>
  <c r="J86" i="2"/>
  <c r="J84" i="2" s="1"/>
  <c r="I86" i="2"/>
  <c r="K13" i="3" s="1"/>
  <c r="H86" i="2"/>
  <c r="J13" i="3" s="1"/>
  <c r="G86" i="2"/>
  <c r="I13" i="3" s="1"/>
  <c r="F86" i="2"/>
  <c r="H13" i="3" s="1"/>
  <c r="E86" i="2"/>
  <c r="O86" i="2" s="1"/>
  <c r="N85" i="2"/>
  <c r="P10" i="3" s="1"/>
  <c r="M85" i="2"/>
  <c r="L85" i="2"/>
  <c r="K85" i="2"/>
  <c r="J85" i="2"/>
  <c r="I85" i="2"/>
  <c r="K10" i="3" s="1"/>
  <c r="H85" i="2"/>
  <c r="H84" i="2" s="1"/>
  <c r="G85" i="2"/>
  <c r="G84" i="2" s="1"/>
  <c r="I7" i="3" s="1"/>
  <c r="F85" i="2"/>
  <c r="F84" i="2" s="1"/>
  <c r="E85" i="2"/>
  <c r="E84" i="2" s="1"/>
  <c r="K84" i="2"/>
  <c r="M7" i="3" s="1"/>
  <c r="I84" i="2"/>
  <c r="K7" i="3" s="1"/>
  <c r="I82" i="2"/>
  <c r="K15" i="3" s="1"/>
  <c r="G82" i="2"/>
  <c r="I15" i="3" s="1"/>
  <c r="F81" i="2"/>
  <c r="A81" i="2"/>
  <c r="M79" i="2"/>
  <c r="O9" i="3" s="1"/>
  <c r="O75" i="2"/>
  <c r="A75" i="2"/>
  <c r="O74" i="2"/>
  <c r="A74" i="2"/>
  <c r="O73" i="2"/>
  <c r="O72" i="2"/>
  <c r="N71" i="2"/>
  <c r="P32" i="3" s="1"/>
  <c r="M71" i="2"/>
  <c r="L71" i="2"/>
  <c r="N32" i="3" s="1"/>
  <c r="K71" i="2"/>
  <c r="J71" i="2"/>
  <c r="I71" i="2"/>
  <c r="H71" i="2"/>
  <c r="G71" i="2"/>
  <c r="I32" i="3" s="1"/>
  <c r="F71" i="2"/>
  <c r="H32" i="3" s="1"/>
  <c r="E71" i="2"/>
  <c r="G32" i="3" s="1"/>
  <c r="N69" i="2"/>
  <c r="M69" i="2"/>
  <c r="L69" i="2"/>
  <c r="K69" i="2"/>
  <c r="J69" i="2"/>
  <c r="I69" i="2"/>
  <c r="H69" i="2"/>
  <c r="G69" i="2"/>
  <c r="O69" i="2" s="1"/>
  <c r="F69" i="2"/>
  <c r="E69" i="2"/>
  <c r="N68" i="2"/>
  <c r="M68" i="2"/>
  <c r="L68" i="2"/>
  <c r="K68" i="2"/>
  <c r="J68" i="2"/>
  <c r="I68" i="2"/>
  <c r="I65" i="2" s="1"/>
  <c r="H68" i="2"/>
  <c r="G68" i="2"/>
  <c r="F68" i="2"/>
  <c r="E68" i="2"/>
  <c r="O68" i="2" s="1"/>
  <c r="N67" i="2"/>
  <c r="M67" i="2"/>
  <c r="O67" i="2" s="1"/>
  <c r="L67" i="2"/>
  <c r="K67" i="2"/>
  <c r="J67" i="2"/>
  <c r="I67" i="2"/>
  <c r="H67" i="2"/>
  <c r="G67" i="2"/>
  <c r="G65" i="2" s="1"/>
  <c r="F67" i="2"/>
  <c r="F65" i="2" s="1"/>
  <c r="E67" i="2"/>
  <c r="N66" i="2"/>
  <c r="M66" i="2"/>
  <c r="L66" i="2"/>
  <c r="K66" i="2"/>
  <c r="K65" i="2" s="1"/>
  <c r="J66" i="2"/>
  <c r="J65" i="2" s="1"/>
  <c r="I66" i="2"/>
  <c r="H66" i="2"/>
  <c r="H79" i="2" s="1"/>
  <c r="G66" i="2"/>
  <c r="F66" i="2"/>
  <c r="E66" i="2"/>
  <c r="N65" i="2"/>
  <c r="L65" i="2"/>
  <c r="E65" i="2"/>
  <c r="O62" i="2"/>
  <c r="A62" i="2"/>
  <c r="O61" i="2"/>
  <c r="O60" i="2"/>
  <c r="O59" i="2"/>
  <c r="A59" i="2"/>
  <c r="O58" i="2"/>
  <c r="N57" i="2"/>
  <c r="M57" i="2"/>
  <c r="L57" i="2"/>
  <c r="K57" i="2"/>
  <c r="M32" i="3" s="1"/>
  <c r="J57" i="2"/>
  <c r="L32" i="3" s="1"/>
  <c r="I57" i="2"/>
  <c r="I56" i="2" s="1"/>
  <c r="H57" i="2"/>
  <c r="J32" i="3" s="1"/>
  <c r="G57" i="2"/>
  <c r="I4" i="3" s="1"/>
  <c r="I3" i="3" s="1"/>
  <c r="F57" i="2"/>
  <c r="E57" i="2"/>
  <c r="G4" i="3" s="1"/>
  <c r="G3" i="3" s="1"/>
  <c r="H56" i="2"/>
  <c r="G56" i="2"/>
  <c r="F56" i="2"/>
  <c r="N55" i="2"/>
  <c r="M55" i="2"/>
  <c r="M82" i="2" s="1"/>
  <c r="O15" i="3" s="1"/>
  <c r="L55" i="2"/>
  <c r="L82" i="2" s="1"/>
  <c r="N15" i="3" s="1"/>
  <c r="K55" i="2"/>
  <c r="K82" i="2" s="1"/>
  <c r="M15" i="3" s="1"/>
  <c r="J55" i="2"/>
  <c r="J50" i="2" s="1"/>
  <c r="I55" i="2"/>
  <c r="H55" i="2"/>
  <c r="H50" i="2" s="1"/>
  <c r="G55" i="2"/>
  <c r="F55" i="2"/>
  <c r="F82" i="2" s="1"/>
  <c r="H15" i="3" s="1"/>
  <c r="E55" i="2"/>
  <c r="E82" i="2" s="1"/>
  <c r="N54" i="2"/>
  <c r="N81" i="2" s="1"/>
  <c r="M54" i="2"/>
  <c r="M81" i="2" s="1"/>
  <c r="L54" i="2"/>
  <c r="L81" i="2" s="1"/>
  <c r="K54" i="2"/>
  <c r="J54" i="2"/>
  <c r="J81" i="2" s="1"/>
  <c r="I54" i="2"/>
  <c r="I81" i="2" s="1"/>
  <c r="H54" i="2"/>
  <c r="H81" i="2" s="1"/>
  <c r="G54" i="2"/>
  <c r="G81" i="2" s="1"/>
  <c r="F54" i="2"/>
  <c r="E54" i="2"/>
  <c r="O54" i="2" s="1"/>
  <c r="N53" i="2"/>
  <c r="P72" i="3" s="1"/>
  <c r="M53" i="2"/>
  <c r="L53" i="2"/>
  <c r="K53" i="2"/>
  <c r="J53" i="2"/>
  <c r="I53" i="2"/>
  <c r="H53" i="2"/>
  <c r="G53" i="2"/>
  <c r="I72" i="3" s="1"/>
  <c r="F53" i="2"/>
  <c r="E53" i="2"/>
  <c r="E50" i="2" s="1"/>
  <c r="N52" i="2"/>
  <c r="M52" i="2"/>
  <c r="L52" i="2"/>
  <c r="K52" i="2"/>
  <c r="J52" i="2"/>
  <c r="I52" i="2"/>
  <c r="I50" i="2" s="1"/>
  <c r="H52" i="2"/>
  <c r="G52" i="2"/>
  <c r="F52" i="2"/>
  <c r="E52" i="2"/>
  <c r="N51" i="2"/>
  <c r="N50" i="2" s="1"/>
  <c r="M51" i="2"/>
  <c r="M50" i="2" s="1"/>
  <c r="L51" i="2"/>
  <c r="L79" i="2" s="1"/>
  <c r="K51" i="2"/>
  <c r="M72" i="3" s="1"/>
  <c r="J51" i="2"/>
  <c r="L72" i="3" s="1"/>
  <c r="I51" i="2"/>
  <c r="K72" i="3" s="1"/>
  <c r="H51" i="2"/>
  <c r="J72" i="3" s="1"/>
  <c r="G51" i="2"/>
  <c r="G50" i="2" s="1"/>
  <c r="F51" i="2"/>
  <c r="O51" i="2" s="1"/>
  <c r="E51" i="2"/>
  <c r="G72" i="3" s="1"/>
  <c r="I48" i="2"/>
  <c r="H48" i="2"/>
  <c r="G48" i="2"/>
  <c r="F48" i="2"/>
  <c r="O47" i="2"/>
  <c r="A47" i="2"/>
  <c r="O46" i="2"/>
  <c r="O45" i="2"/>
  <c r="O44" i="2"/>
  <c r="A44" i="2"/>
  <c r="O43" i="2"/>
  <c r="N42" i="2"/>
  <c r="M42" i="2"/>
  <c r="L42" i="2"/>
  <c r="K42" i="2"/>
  <c r="J42" i="2"/>
  <c r="I42" i="2"/>
  <c r="O42" i="2" s="1"/>
  <c r="H42" i="2"/>
  <c r="G42" i="2"/>
  <c r="F42" i="2"/>
  <c r="E42" i="2"/>
  <c r="N40" i="2"/>
  <c r="N82" i="2" s="1"/>
  <c r="P15" i="3" s="1"/>
  <c r="M40" i="2"/>
  <c r="L40" i="2"/>
  <c r="K40" i="2"/>
  <c r="J40" i="2"/>
  <c r="I40" i="2"/>
  <c r="H40" i="2"/>
  <c r="G40" i="2"/>
  <c r="F40" i="2"/>
  <c r="O40" i="2" s="1"/>
  <c r="E40" i="2"/>
  <c r="O39" i="2"/>
  <c r="N39" i="2"/>
  <c r="M39" i="2"/>
  <c r="L39" i="2"/>
  <c r="K39" i="2"/>
  <c r="J39" i="2"/>
  <c r="I39" i="2"/>
  <c r="H39" i="2"/>
  <c r="G39" i="2"/>
  <c r="F39" i="2"/>
  <c r="E39" i="2"/>
  <c r="N38" i="2"/>
  <c r="M38" i="2"/>
  <c r="L38" i="2"/>
  <c r="K38" i="2"/>
  <c r="J38" i="2"/>
  <c r="I38" i="2"/>
  <c r="H38" i="2"/>
  <c r="G38" i="2"/>
  <c r="F38" i="2"/>
  <c r="E38" i="2"/>
  <c r="O38" i="2" s="1"/>
  <c r="N37" i="2"/>
  <c r="N35" i="2" s="1"/>
  <c r="M37" i="2"/>
  <c r="L37" i="2"/>
  <c r="L35" i="2" s="1"/>
  <c r="K37" i="2"/>
  <c r="J37" i="2"/>
  <c r="I37" i="2"/>
  <c r="H37" i="2"/>
  <c r="G37" i="2"/>
  <c r="F37" i="2"/>
  <c r="E37" i="2"/>
  <c r="O37" i="2" s="1"/>
  <c r="N36" i="2"/>
  <c r="M36" i="2"/>
  <c r="L36" i="2"/>
  <c r="K36" i="2"/>
  <c r="J36" i="2"/>
  <c r="J35" i="2" s="1"/>
  <c r="I36" i="2"/>
  <c r="I35" i="2" s="1"/>
  <c r="H36" i="2"/>
  <c r="H35" i="2" s="1"/>
  <c r="G36" i="2"/>
  <c r="G35" i="2" s="1"/>
  <c r="F36" i="2"/>
  <c r="E36" i="2"/>
  <c r="O36" i="2" s="1"/>
  <c r="M35" i="2"/>
  <c r="K35" i="2"/>
  <c r="O32" i="2"/>
  <c r="O31" i="2"/>
  <c r="O30" i="2"/>
  <c r="O29" i="2"/>
  <c r="A29" i="2"/>
  <c r="O28" i="2"/>
  <c r="A28" i="2"/>
  <c r="N27" i="2"/>
  <c r="P31" i="3" s="1"/>
  <c r="M27" i="2"/>
  <c r="O31" i="3" s="1"/>
  <c r="L27" i="2"/>
  <c r="N31" i="3" s="1"/>
  <c r="K27" i="2"/>
  <c r="M31" i="3" s="1"/>
  <c r="J27" i="2"/>
  <c r="I27" i="2"/>
  <c r="K31" i="3" s="1"/>
  <c r="H27" i="2"/>
  <c r="I26" i="2" s="1"/>
  <c r="G27" i="2"/>
  <c r="I31" i="3" s="1"/>
  <c r="F27" i="2"/>
  <c r="H31" i="3" s="1"/>
  <c r="E27" i="2"/>
  <c r="O27" i="2" s="1"/>
  <c r="H26" i="2"/>
  <c r="F26" i="2"/>
  <c r="N25" i="2"/>
  <c r="M25" i="2"/>
  <c r="L25" i="2"/>
  <c r="K25" i="2"/>
  <c r="J25" i="2"/>
  <c r="I25" i="2"/>
  <c r="H25" i="2"/>
  <c r="J100" i="3" s="1"/>
  <c r="G25" i="2"/>
  <c r="F25" i="2"/>
  <c r="E25" i="2"/>
  <c r="O25" i="2" s="1"/>
  <c r="N24" i="2"/>
  <c r="P100" i="3" s="1"/>
  <c r="M24" i="2"/>
  <c r="L24" i="2"/>
  <c r="N100" i="3" s="1"/>
  <c r="K24" i="2"/>
  <c r="M100" i="3" s="1"/>
  <c r="J24" i="2"/>
  <c r="L100" i="3" s="1"/>
  <c r="I24" i="2"/>
  <c r="K100" i="3" s="1"/>
  <c r="H24" i="2"/>
  <c r="G24" i="2"/>
  <c r="I100" i="3" s="1"/>
  <c r="F24" i="2"/>
  <c r="H100" i="3" s="1"/>
  <c r="E24" i="2"/>
  <c r="G100" i="3" s="1"/>
  <c r="N23" i="2"/>
  <c r="M23" i="2"/>
  <c r="M20" i="2" s="1"/>
  <c r="L23" i="2"/>
  <c r="K23" i="2"/>
  <c r="J23" i="2"/>
  <c r="I23" i="2"/>
  <c r="H23" i="2"/>
  <c r="J71" i="3" s="1"/>
  <c r="G23" i="2"/>
  <c r="F23" i="2"/>
  <c r="H71" i="3" s="1"/>
  <c r="E23" i="2"/>
  <c r="N22" i="2"/>
  <c r="N80" i="2" s="1"/>
  <c r="P12" i="3" s="1"/>
  <c r="M22" i="2"/>
  <c r="M80" i="2" s="1"/>
  <c r="O12" i="3" s="1"/>
  <c r="L22" i="2"/>
  <c r="L80" i="2" s="1"/>
  <c r="K22" i="2"/>
  <c r="K80" i="2" s="1"/>
  <c r="J22" i="2"/>
  <c r="J80" i="2" s="1"/>
  <c r="L12" i="3" s="1"/>
  <c r="I22" i="2"/>
  <c r="I80" i="2" s="1"/>
  <c r="K12" i="3" s="1"/>
  <c r="H22" i="2"/>
  <c r="H80" i="2" s="1"/>
  <c r="J12" i="3" s="1"/>
  <c r="G22" i="2"/>
  <c r="G80" i="2" s="1"/>
  <c r="F22" i="2"/>
  <c r="F80" i="2" s="1"/>
  <c r="H12" i="3" s="1"/>
  <c r="E22" i="2"/>
  <c r="O22" i="2" s="1"/>
  <c r="N21" i="2"/>
  <c r="P71" i="3" s="1"/>
  <c r="M21" i="2"/>
  <c r="O71" i="3" s="1"/>
  <c r="L21" i="2"/>
  <c r="N71" i="3" s="1"/>
  <c r="K21" i="2"/>
  <c r="M71" i="3" s="1"/>
  <c r="J21" i="2"/>
  <c r="L71" i="3" s="1"/>
  <c r="I21" i="2"/>
  <c r="K71" i="3" s="1"/>
  <c r="H21" i="2"/>
  <c r="G21" i="2"/>
  <c r="G79" i="2" s="1"/>
  <c r="F21" i="2"/>
  <c r="F20" i="2" s="1"/>
  <c r="E21" i="2"/>
  <c r="G71" i="3" s="1"/>
  <c r="I20" i="2"/>
  <c r="G20" i="2"/>
  <c r="K12" i="2"/>
  <c r="K11" i="2"/>
  <c r="K10" i="2"/>
  <c r="K9" i="2"/>
  <c r="A9" i="2"/>
  <c r="F5" i="2"/>
  <c r="I3" i="2"/>
  <c r="O18" i="2" s="1"/>
  <c r="G3" i="2"/>
  <c r="A11" i="2" s="1"/>
  <c r="D26" i="1"/>
  <c r="D25" i="1"/>
  <c r="N23" i="1"/>
  <c r="H22" i="1"/>
  <c r="N21" i="1"/>
  <c r="E21" i="1"/>
  <c r="E18" i="1"/>
  <c r="L7" i="1"/>
  <c r="G3" i="1"/>
  <c r="C1" i="1"/>
  <c r="M124" i="3" l="1"/>
  <c r="M102" i="3"/>
  <c r="M125" i="3"/>
  <c r="Q31" i="3"/>
  <c r="H4" i="3"/>
  <c r="H3" i="3" s="1"/>
  <c r="K46" i="3"/>
  <c r="K45" i="3"/>
  <c r="K44" i="3" s="1"/>
  <c r="Q16" i="3"/>
  <c r="I112" i="3"/>
  <c r="G15" i="3"/>
  <c r="G7" i="3"/>
  <c r="E91" i="2"/>
  <c r="E92" i="2" s="1"/>
  <c r="N9" i="3"/>
  <c r="L78" i="2"/>
  <c r="N6" i="3" s="1"/>
  <c r="L7" i="3"/>
  <c r="L4" i="3"/>
  <c r="L3" i="3" s="1"/>
  <c r="H7" i="3"/>
  <c r="F91" i="2"/>
  <c r="I46" i="3"/>
  <c r="I45" i="3"/>
  <c r="O45" i="3"/>
  <c r="O46" i="3"/>
  <c r="N4" i="3"/>
  <c r="N3" i="3" s="1"/>
  <c r="N7" i="3"/>
  <c r="J69" i="3"/>
  <c r="J7" i="3"/>
  <c r="J4" i="3"/>
  <c r="J3" i="3" s="1"/>
  <c r="M45" i="3"/>
  <c r="M46" i="3"/>
  <c r="J9" i="3"/>
  <c r="P112" i="3"/>
  <c r="I12" i="3"/>
  <c r="O4" i="3"/>
  <c r="K112" i="3"/>
  <c r="J102" i="3"/>
  <c r="J124" i="3"/>
  <c r="J125" i="3"/>
  <c r="G73" i="3"/>
  <c r="G26" i="3" s="1"/>
  <c r="P124" i="3"/>
  <c r="P125" i="3"/>
  <c r="P102" i="3"/>
  <c r="I102" i="3"/>
  <c r="I124" i="3"/>
  <c r="I125" i="3"/>
  <c r="N12" i="3"/>
  <c r="G78" i="2"/>
  <c r="I6" i="3" s="1"/>
  <c r="I9" i="3"/>
  <c r="G68" i="3"/>
  <c r="K102" i="3"/>
  <c r="K124" i="3"/>
  <c r="K125" i="3"/>
  <c r="A12" i="2"/>
  <c r="H20" i="2"/>
  <c r="G26" i="2"/>
  <c r="O53" i="2"/>
  <c r="N79" i="2"/>
  <c r="E81" i="2"/>
  <c r="O81" i="2" s="1"/>
  <c r="H82" i="2"/>
  <c r="J15" i="3" s="1"/>
  <c r="O85" i="2"/>
  <c r="O32" i="3"/>
  <c r="I71" i="3"/>
  <c r="I73" i="3" s="1"/>
  <c r="I26" i="3" s="1"/>
  <c r="I18" i="3" s="1"/>
  <c r="O72" i="3"/>
  <c r="E18" i="2"/>
  <c r="J20" i="2"/>
  <c r="O21" i="2"/>
  <c r="O71" i="2"/>
  <c r="A80" i="2"/>
  <c r="J82" i="2"/>
  <c r="L15" i="3" s="1"/>
  <c r="G10" i="3"/>
  <c r="O13" i="3"/>
  <c r="G18" i="3"/>
  <c r="H101" i="3"/>
  <c r="F18" i="2"/>
  <c r="K20" i="2"/>
  <c r="O24" i="2"/>
  <c r="A30" i="2"/>
  <c r="E80" i="2"/>
  <c r="H10" i="3"/>
  <c r="G124" i="3"/>
  <c r="G18" i="2"/>
  <c r="L20" i="2"/>
  <c r="H65" i="2"/>
  <c r="O65" i="2" s="1"/>
  <c r="A72" i="2"/>
  <c r="M78" i="2"/>
  <c r="O6" i="3" s="1"/>
  <c r="N84" i="2"/>
  <c r="P7" i="3" s="1"/>
  <c r="I10" i="3"/>
  <c r="Q20" i="3"/>
  <c r="H79" i="3"/>
  <c r="Q22" i="3"/>
  <c r="H18" i="2"/>
  <c r="A31" i="2"/>
  <c r="O52" i="2"/>
  <c r="O57" i="2"/>
  <c r="P27" i="2" s="1"/>
  <c r="J10" i="3"/>
  <c r="Q28" i="3"/>
  <c r="M105" i="3"/>
  <c r="M106" i="3" s="1"/>
  <c r="M112" i="3" s="1"/>
  <c r="I18" i="2"/>
  <c r="N20" i="2"/>
  <c r="F50" i="2"/>
  <c r="O50" i="2" s="1"/>
  <c r="O55" i="2"/>
  <c r="O66" i="2"/>
  <c r="A73" i="2"/>
  <c r="K81" i="2"/>
  <c r="M12" i="3" s="1"/>
  <c r="C15" i="3"/>
  <c r="C22" i="3"/>
  <c r="H80" i="3"/>
  <c r="H86" i="3"/>
  <c r="L101" i="3"/>
  <c r="N105" i="3"/>
  <c r="N106" i="3" s="1"/>
  <c r="J18" i="2"/>
  <c r="A32" i="2"/>
  <c r="A43" i="2"/>
  <c r="A58" i="2"/>
  <c r="E79" i="2"/>
  <c r="K4" i="3"/>
  <c r="K3" i="3" s="1"/>
  <c r="H67" i="3"/>
  <c r="H68" i="3" s="1"/>
  <c r="O105" i="3"/>
  <c r="O106" i="3" s="1"/>
  <c r="K18" i="2"/>
  <c r="O23" i="2"/>
  <c r="F79" i="2"/>
  <c r="H87" i="3"/>
  <c r="N101" i="3"/>
  <c r="L18" i="2"/>
  <c r="E35" i="2"/>
  <c r="M65" i="2"/>
  <c r="A83" i="2"/>
  <c r="M4" i="3"/>
  <c r="M3" i="3" s="1"/>
  <c r="H72" i="3"/>
  <c r="H73" i="3" s="1"/>
  <c r="H26" i="3" s="1"/>
  <c r="H18" i="3" s="1"/>
  <c r="O101" i="3"/>
  <c r="G13" i="3"/>
  <c r="Q13" i="3" s="1"/>
  <c r="S13" i="3" s="1"/>
  <c r="M18" i="2"/>
  <c r="N18" i="2"/>
  <c r="A45" i="2"/>
  <c r="K50" i="2"/>
  <c r="A60" i="2"/>
  <c r="I79" i="2"/>
  <c r="G102" i="3"/>
  <c r="O88" i="2"/>
  <c r="F35" i="2"/>
  <c r="A10" i="2"/>
  <c r="L50" i="2"/>
  <c r="J79" i="2"/>
  <c r="A82" i="2"/>
  <c r="K32" i="3"/>
  <c r="Q32" i="3" s="1"/>
  <c r="E20" i="2"/>
  <c r="A46" i="2"/>
  <c r="A61" i="2"/>
  <c r="K79" i="2"/>
  <c r="J119" i="3" l="1"/>
  <c r="J111" i="3"/>
  <c r="J117" i="3" s="1"/>
  <c r="J118" i="3" s="1"/>
  <c r="K9" i="3"/>
  <c r="I78" i="2"/>
  <c r="K6" i="3" s="1"/>
  <c r="F78" i="2"/>
  <c r="H6" i="3" s="1"/>
  <c r="H9" i="3"/>
  <c r="S16" i="3"/>
  <c r="G12" i="3"/>
  <c r="Q12" i="3" s="1"/>
  <c r="O80" i="2"/>
  <c r="P74" i="3"/>
  <c r="L74" i="3"/>
  <c r="O74" i="3"/>
  <c r="N74" i="3"/>
  <c r="M74" i="3"/>
  <c r="D22" i="1"/>
  <c r="C4" i="3" s="1"/>
  <c r="J46" i="3"/>
  <c r="J45" i="3"/>
  <c r="J44" i="3" s="1"/>
  <c r="H46" i="3"/>
  <c r="H45" i="3"/>
  <c r="H44" i="3" s="1"/>
  <c r="G111" i="3"/>
  <c r="G117" i="3" s="1"/>
  <c r="G119" i="3"/>
  <c r="K69" i="3"/>
  <c r="J73" i="3"/>
  <c r="J26" i="3" s="1"/>
  <c r="J18" i="3" s="1"/>
  <c r="S25" i="3"/>
  <c r="H125" i="3"/>
  <c r="H102" i="3"/>
  <c r="H124" i="3"/>
  <c r="P9" i="3"/>
  <c r="N78" i="2"/>
  <c r="P6" i="3" s="1"/>
  <c r="N45" i="3"/>
  <c r="N46" i="3"/>
  <c r="N124" i="3"/>
  <c r="N125" i="3"/>
  <c r="N102" i="3"/>
  <c r="O112" i="3"/>
  <c r="L45" i="3"/>
  <c r="L44" i="3" s="1"/>
  <c r="L46" i="3"/>
  <c r="I119" i="3"/>
  <c r="I111" i="3"/>
  <c r="I117" i="3" s="1"/>
  <c r="I118" i="3" s="1"/>
  <c r="M9" i="3"/>
  <c r="K78" i="2"/>
  <c r="M6" i="3" s="1"/>
  <c r="P45" i="3"/>
  <c r="P44" i="3" s="1"/>
  <c r="P46" i="3"/>
  <c r="O20" i="2"/>
  <c r="O124" i="3"/>
  <c r="O125" i="3"/>
  <c r="O102" i="3"/>
  <c r="O79" i="2"/>
  <c r="E78" i="2"/>
  <c r="G9" i="3"/>
  <c r="Q10" i="3"/>
  <c r="S10" i="3" s="1"/>
  <c r="P119" i="3"/>
  <c r="P111" i="3"/>
  <c r="P117" i="3" s="1"/>
  <c r="P42" i="2"/>
  <c r="G112" i="3"/>
  <c r="M119" i="3"/>
  <c r="M111" i="3"/>
  <c r="M117" i="3" s="1"/>
  <c r="M118" i="3" s="1"/>
  <c r="L9" i="3"/>
  <c r="J78" i="2"/>
  <c r="L6" i="3" s="1"/>
  <c r="H78" i="2"/>
  <c r="J6" i="3" s="1"/>
  <c r="O84" i="2"/>
  <c r="O35" i="2"/>
  <c r="Q67" i="3"/>
  <c r="P4" i="3"/>
  <c r="P3" i="3" s="1"/>
  <c r="O82" i="2"/>
  <c r="P71" i="2"/>
  <c r="K119" i="3"/>
  <c r="K111" i="3"/>
  <c r="K117" i="3" s="1"/>
  <c r="K118" i="3" s="1"/>
  <c r="G46" i="3"/>
  <c r="Q7" i="3"/>
  <c r="G45" i="3"/>
  <c r="L124" i="3"/>
  <c r="L125" i="3"/>
  <c r="L102" i="3"/>
  <c r="Q68" i="3"/>
  <c r="M44" i="3"/>
  <c r="O44" i="3"/>
  <c r="Q15" i="3"/>
  <c r="P83" i="2"/>
  <c r="C21" i="3" s="1"/>
  <c r="Q4" i="3"/>
  <c r="P57" i="2"/>
  <c r="I44" i="3"/>
  <c r="J112" i="3"/>
  <c r="Q9" i="3" l="1"/>
  <c r="S9" i="3" s="1"/>
  <c r="N119" i="3"/>
  <c r="N111" i="3"/>
  <c r="N117" i="3" s="1"/>
  <c r="N118" i="3" s="1"/>
  <c r="G118" i="3"/>
  <c r="G38" i="3"/>
  <c r="G6" i="3"/>
  <c r="Q6" i="3" s="1"/>
  <c r="S6" i="3" s="1"/>
  <c r="O78" i="2"/>
  <c r="O119" i="3"/>
  <c r="O111" i="3"/>
  <c r="O117" i="3" s="1"/>
  <c r="O118" i="3" s="1"/>
  <c r="N44" i="3"/>
  <c r="N112" i="3"/>
  <c r="L119" i="3"/>
  <c r="L111" i="3"/>
  <c r="L117" i="3" s="1"/>
  <c r="L118" i="3" s="1"/>
  <c r="L112" i="3"/>
  <c r="C16" i="3"/>
  <c r="C17" i="3" s="1"/>
  <c r="P82" i="2"/>
  <c r="C20" i="3" s="1"/>
  <c r="P81" i="2"/>
  <c r="C19" i="3" s="1"/>
  <c r="S12" i="3"/>
  <c r="K73" i="3"/>
  <c r="K26" i="3" s="1"/>
  <c r="L69" i="3"/>
  <c r="P80" i="2"/>
  <c r="C18" i="3" s="1"/>
  <c r="S15" i="3"/>
  <c r="H111" i="3"/>
  <c r="H117" i="3" s="1"/>
  <c r="H118" i="3" s="1"/>
  <c r="H119" i="3"/>
  <c r="H112" i="3"/>
  <c r="Q45" i="3"/>
  <c r="G44" i="3"/>
  <c r="S7" i="3"/>
  <c r="Q46" i="3"/>
  <c r="P118" i="3"/>
  <c r="G39" i="3" l="1"/>
  <c r="G61" i="3"/>
  <c r="H38" i="3"/>
  <c r="T55" i="3"/>
  <c r="I38" i="3"/>
  <c r="B47" i="3"/>
  <c r="Q44" i="3"/>
  <c r="J38" i="3"/>
  <c r="K38" i="3"/>
  <c r="L73" i="3"/>
  <c r="L26" i="3" s="1"/>
  <c r="L18" i="3" s="1"/>
  <c r="M69" i="3"/>
  <c r="K18" i="3"/>
  <c r="J39" i="3" l="1"/>
  <c r="J61" i="3"/>
  <c r="I39" i="3"/>
  <c r="I61" i="3"/>
  <c r="G62" i="3"/>
  <c r="G130" i="3"/>
  <c r="G128" i="3"/>
  <c r="G131" i="3"/>
  <c r="G129" i="3"/>
  <c r="K39" i="3"/>
  <c r="K61" i="3"/>
  <c r="H39" i="3"/>
  <c r="M73" i="3"/>
  <c r="M26" i="3" s="1"/>
  <c r="N69" i="3"/>
  <c r="G33" i="3"/>
  <c r="G41" i="3" s="1"/>
  <c r="L38" i="3"/>
  <c r="M38" i="3" s="1"/>
  <c r="M33" i="3" l="1"/>
  <c r="M39" i="3"/>
  <c r="N38" i="3"/>
  <c r="K128" i="3"/>
  <c r="K131" i="3"/>
  <c r="K129" i="3"/>
  <c r="K130" i="3"/>
  <c r="G57" i="3"/>
  <c r="G51" i="3" s="1"/>
  <c r="N73" i="3"/>
  <c r="N26" i="3" s="1"/>
  <c r="N18" i="3" s="1"/>
  <c r="O69" i="3"/>
  <c r="H130" i="3"/>
  <c r="H128" i="3"/>
  <c r="H131" i="3"/>
  <c r="H129" i="3"/>
  <c r="L33" i="3"/>
  <c r="L41" i="3" s="1"/>
  <c r="L39" i="3"/>
  <c r="L61" i="3"/>
  <c r="K33" i="3"/>
  <c r="K41" i="3" s="1"/>
  <c r="G54" i="3"/>
  <c r="G55" i="3"/>
  <c r="G42" i="3"/>
  <c r="G53" i="3"/>
  <c r="G48" i="3"/>
  <c r="M18" i="3"/>
  <c r="H61" i="3"/>
  <c r="I130" i="3"/>
  <c r="I128" i="3"/>
  <c r="I131" i="3"/>
  <c r="I129" i="3"/>
  <c r="I33" i="3"/>
  <c r="I41" i="3" s="1"/>
  <c r="H33" i="3"/>
  <c r="H41" i="3" s="1"/>
  <c r="H55" i="3" s="1"/>
  <c r="P38" i="3"/>
  <c r="J130" i="3"/>
  <c r="J128" i="3"/>
  <c r="J131" i="3"/>
  <c r="J129" i="3"/>
  <c r="O38" i="3"/>
  <c r="J33" i="3"/>
  <c r="J41" i="3" s="1"/>
  <c r="O73" i="3" l="1"/>
  <c r="O26" i="3" s="1"/>
  <c r="O18" i="3" s="1"/>
  <c r="P69" i="3"/>
  <c r="P73" i="3" s="1"/>
  <c r="P26" i="3" s="1"/>
  <c r="P18" i="3" s="1"/>
  <c r="J53" i="3"/>
  <c r="J54" i="3"/>
  <c r="J48" i="3"/>
  <c r="P39" i="3"/>
  <c r="P61" i="3"/>
  <c r="H53" i="3"/>
  <c r="H54" i="3"/>
  <c r="H48" i="3"/>
  <c r="J74" i="3" s="1"/>
  <c r="I53" i="3"/>
  <c r="I54" i="3"/>
  <c r="I48" i="3"/>
  <c r="H42" i="3"/>
  <c r="I42" i="3" s="1"/>
  <c r="J42" i="3" s="1"/>
  <c r="K42" i="3" s="1"/>
  <c r="L42" i="3" s="1"/>
  <c r="Q38" i="3"/>
  <c r="O39" i="3"/>
  <c r="O33" i="3" s="1"/>
  <c r="O61" i="3"/>
  <c r="N39" i="3"/>
  <c r="N61" i="3"/>
  <c r="K55" i="3"/>
  <c r="I55" i="3"/>
  <c r="H62" i="3"/>
  <c r="J55" i="3"/>
  <c r="Q26" i="3"/>
  <c r="L55" i="3"/>
  <c r="M41" i="3"/>
  <c r="Q18" i="3"/>
  <c r="C23" i="3" s="1"/>
  <c r="K53" i="3"/>
  <c r="K54" i="3"/>
  <c r="K48" i="3"/>
  <c r="G49" i="3"/>
  <c r="G75" i="3"/>
  <c r="G74" i="3"/>
  <c r="H74" i="3"/>
  <c r="M61" i="3"/>
  <c r="Q61" i="3" s="1"/>
  <c r="L128" i="3"/>
  <c r="L131" i="3"/>
  <c r="L129" i="3"/>
  <c r="L130" i="3"/>
  <c r="M128" i="3"/>
  <c r="M131" i="3"/>
  <c r="M129" i="3"/>
  <c r="M130" i="3"/>
  <c r="L53" i="3"/>
  <c r="L54" i="3"/>
  <c r="L48" i="3"/>
  <c r="N55" i="3" l="1"/>
  <c r="P131" i="3"/>
  <c r="P129" i="3"/>
  <c r="P130" i="3"/>
  <c r="P128" i="3"/>
  <c r="I74" i="3"/>
  <c r="H49" i="3"/>
  <c r="I49" i="3" s="1"/>
  <c r="I62" i="3"/>
  <c r="H57" i="3"/>
  <c r="H51" i="3" s="1"/>
  <c r="P33" i="3"/>
  <c r="P41" i="3" s="1"/>
  <c r="N128" i="3"/>
  <c r="N131" i="3"/>
  <c r="N129" i="3"/>
  <c r="N130" i="3"/>
  <c r="Q39" i="3"/>
  <c r="Q33" i="3" s="1"/>
  <c r="N33" i="3"/>
  <c r="N41" i="3" s="1"/>
  <c r="L15" i="1"/>
  <c r="C36" i="3"/>
  <c r="C37" i="3" s="1"/>
  <c r="M53" i="3"/>
  <c r="M54" i="3"/>
  <c r="M48" i="3"/>
  <c r="M55" i="3"/>
  <c r="K74" i="3"/>
  <c r="Q74" i="3" s="1"/>
  <c r="S74" i="3" s="1"/>
  <c r="H75" i="3"/>
  <c r="I75" i="3" s="1"/>
  <c r="O131" i="3"/>
  <c r="O129" i="3"/>
  <c r="O130" i="3"/>
  <c r="O128" i="3"/>
  <c r="O41" i="3"/>
  <c r="P55" i="3" s="1"/>
  <c r="Q55" i="3" s="1"/>
  <c r="M42" i="3"/>
  <c r="N42" i="3" s="1"/>
  <c r="O42" i="3" s="1"/>
  <c r="C24" i="3" l="1"/>
  <c r="L13" i="1"/>
  <c r="R33" i="3"/>
  <c r="S33" i="3"/>
  <c r="R2" i="3"/>
  <c r="S2" i="3" s="1"/>
  <c r="P53" i="3"/>
  <c r="P54" i="3"/>
  <c r="P48" i="3"/>
  <c r="Q41" i="3"/>
  <c r="J75" i="3"/>
  <c r="K75" i="3" s="1"/>
  <c r="L9" i="1"/>
  <c r="P42" i="3"/>
  <c r="Q9" i="1"/>
  <c r="J49" i="3"/>
  <c r="K49" i="3" s="1"/>
  <c r="L49" i="3" s="1"/>
  <c r="M49" i="3" s="1"/>
  <c r="O53" i="3"/>
  <c r="O54" i="3"/>
  <c r="O48" i="3"/>
  <c r="O55" i="3"/>
  <c r="J62" i="3"/>
  <c r="I57" i="3"/>
  <c r="I51" i="3" s="1"/>
  <c r="N53" i="3"/>
  <c r="N54" i="3"/>
  <c r="N48" i="3"/>
  <c r="Q48" i="3" s="1"/>
  <c r="Q49" i="3" s="1"/>
  <c r="M75" i="3" l="1"/>
  <c r="L75" i="3"/>
  <c r="O75" i="3" s="1"/>
  <c r="N75" i="3"/>
  <c r="P75" i="3" s="1"/>
  <c r="L5" i="1"/>
  <c r="Q53" i="3"/>
  <c r="C25" i="3"/>
  <c r="C26" i="3" s="1"/>
  <c r="Q54" i="3"/>
  <c r="C27" i="3"/>
  <c r="O2" i="3"/>
  <c r="P2" i="3" s="1"/>
  <c r="Q42" i="3"/>
  <c r="N49" i="3"/>
  <c r="O49" i="3" s="1"/>
  <c r="P49" i="3" s="1"/>
  <c r="K62" i="3"/>
  <c r="J57" i="3"/>
  <c r="J51" i="3" s="1"/>
  <c r="C28" i="3"/>
  <c r="C29" i="3"/>
  <c r="L11" i="1" s="1"/>
  <c r="Q75" i="3" l="1"/>
  <c r="C32" i="3" s="1"/>
  <c r="L62" i="3"/>
  <c r="K57" i="3"/>
  <c r="K51" i="3" s="1"/>
  <c r="Q62" i="3"/>
  <c r="Q57" i="3" s="1"/>
  <c r="M62" i="3" l="1"/>
  <c r="L57" i="3"/>
  <c r="L51" i="3" s="1"/>
  <c r="N62" i="3" l="1"/>
  <c r="M57" i="3"/>
  <c r="M51" i="3" s="1"/>
  <c r="N57" i="3" l="1"/>
  <c r="N51" i="3" s="1"/>
  <c r="O62" i="3"/>
  <c r="O57" i="3" l="1"/>
  <c r="O51" i="3" s="1"/>
  <c r="P62" i="3"/>
  <c r="P57" i="3" s="1"/>
  <c r="P51" i="3" s="1"/>
  <c r="Q51" i="3" s="1"/>
</calcChain>
</file>

<file path=xl/sharedStrings.xml><?xml version="1.0" encoding="utf-8"?>
<sst xmlns="http://schemas.openxmlformats.org/spreadsheetml/2006/main" count="406" uniqueCount="270">
  <si>
    <t>Model Version</t>
  </si>
  <si>
    <t>Please fill all cells in Yellow</t>
  </si>
  <si>
    <t>Opportunity ID
(OPP-000XXXXXX)</t>
  </si>
  <si>
    <t>OPP-000989103</t>
  </si>
  <si>
    <t>Deal Owner (AE)</t>
  </si>
  <si>
    <t>Joke Smit</t>
  </si>
  <si>
    <t>Scenario Name</t>
  </si>
  <si>
    <t>MLS</t>
  </si>
  <si>
    <r>
      <rPr>
        <b/>
        <sz val="14"/>
        <color theme="1"/>
        <rFont val="Calibri"/>
        <family val="2"/>
        <scheme val="minor"/>
      </rPr>
      <t>Deal Checks</t>
    </r>
    <r>
      <rPr>
        <sz val="14"/>
        <color theme="1"/>
        <rFont val="Calibri"/>
        <family val="2"/>
        <scheme val="minor"/>
      </rPr>
      <t xml:space="preserve">
Please ensure all checks are green</t>
    </r>
  </si>
  <si>
    <t>Include Reason if exception</t>
  </si>
  <si>
    <t>Client Name</t>
  </si>
  <si>
    <t xml:space="preserve">RBI group </t>
  </si>
  <si>
    <t>Primary Market</t>
  </si>
  <si>
    <t>Austria</t>
  </si>
  <si>
    <t>Cluster</t>
  </si>
  <si>
    <t>CI Ref (Finance to complete)</t>
  </si>
  <si>
    <t>FY26_331</t>
  </si>
  <si>
    <t xml:space="preserve">RBI Group, a traditional bank serving clients across multiple markets with ~7.5 million retail customers, aims to stay competitive in consumer payments. Visa made a proactive offer in FY25 to drive and support early adoption of Visa Direct to card (OCT &amp; AFT) and Visa+ origination for consumer usecases like remittance and top ups. RBI has since provided an updated forecast and requested increased fixed support for development in FY26 and commercial rollout in FY27. The renewed proposal is designed to meet client demand, lock in solution launches across markets, drive XB performance. With this contract we'd win volume from and grow against Wise, Paypal, WeRo etc. </t>
  </si>
  <si>
    <t>Within Fast Track</t>
  </si>
  <si>
    <t>Alignment with VE Corporate goals: (How does this deal support VE’s corporate goals?
)</t>
  </si>
  <si>
    <t>This approach aligns with Visa's strategic corporate goals and FY26 / FY27 scorecard by securing Visa Direct's origination penetration in the banking segment and expanding the adoption of Visa Direct value-added services such as Visa+,  driving improved user experiences and driving usage. 
Additionally, selling Visa Direct (to Card) supports Visa's goal to diversify revenues beyond traditional consumer payments.</t>
  </si>
  <si>
    <t>Upfront &lt;=$250K</t>
  </si>
  <si>
    <t xml:space="preserve">Win / Retain Strategy (What is the sales strategy? - Idea of what the amount and structure of incentives &amp; Client request?)
</t>
  </si>
  <si>
    <t xml:space="preserve">Following Visa’s proactive FY25 offer, RBI expanded the scope to include domestic flows, revised the XB forecast, and requested higher fixed support committing to centralised development in FY26 and commercial rollout across countries in FY27 of OCT, AFT and Visa+ origination. Visa aims to secure contracting in FY26 and targets funding the fixed support through a mix of Visa Direct and CIA card‑related incentives, supported by coordinated C‑level to operational engagement. This groupdeal approach empowers RBI at central level, which is something Visa and key RBI staeholders look to establish since long. </t>
  </si>
  <si>
    <t>Incentive Earn-Through and Contribution B/E by Year 3</t>
  </si>
  <si>
    <t xml:space="preserve">Key Benefits (What are the key reasons for approval?)
</t>
  </si>
  <si>
    <t xml:space="preserve">Reasons for approval: this offer fits within Visa Direct fast track modelling KPI's and fast track contracting. Visa benefits are commited commercial rollout of OCT, AFT and Visa+ products with a key bank across multiple markets and growing &amp; winning volumes against competitors like Wise.  The offer stimulates XB performance through tiered transactional XB support and enhances focus on implementation and activation through milestone based fixed support that protects Visa's interests. </t>
  </si>
  <si>
    <t>Discount on Core Fees &lt;=35%</t>
  </si>
  <si>
    <t>Key Commercial Concerns (What are the key concerns about this opportunity?)</t>
  </si>
  <si>
    <t>RBI has an remittance partnership with Wise in some markets. Not approving this deal will risk volumes going to Wise. One senior stakeholder is known to have a appreciation for Wise, which may influence internal discussions. 
In addition, RBI’s organisational complexity and resource constraints—similar to other large group banks such as Erste or ING—create to be expected risks in eg execution including possible shifts in timelines or scope despite Visa’s support.  Tight project governance and continued alignment on scope, timelines, and resourcing will be essential to mitigate delivery risks and avoid delays.</t>
  </si>
  <si>
    <t>Total Incenitves  excl. IRR VAT &lt; $10M</t>
  </si>
  <si>
    <t>Provide exception why this deal should be within Fast Track</t>
  </si>
  <si>
    <t>What other factors should be considered? (Concerns about the client?)</t>
  </si>
  <si>
    <t>RBI’s geographical scale offers strong strategic upside potential for Visa, This contract will have an signal effect to other bankingclients like Erste Bank, ING. As RBI internal rules currently do not allow to do XB P2P card based payments into all XB corridors - once lifted this could lead to increased inter levels. However, capturing this deal and value requires careful navigation of their multi‑layered decision processes and expectations around support.</t>
  </si>
  <si>
    <t>Upfront &lt; 25% of Total Incentives</t>
  </si>
  <si>
    <t>Please complete the following for Contract Management:</t>
  </si>
  <si>
    <t>Please complete the following Client information:</t>
  </si>
  <si>
    <t>Please complete the following information on client's existing business:</t>
  </si>
  <si>
    <t>Deal Term</t>
  </si>
  <si>
    <t>Client Full Name</t>
  </si>
  <si>
    <t>RAIFFEISEN BANK INTERNATIONAL AG</t>
  </si>
  <si>
    <t>Existing CIA with the client?</t>
  </si>
  <si>
    <t>Yes</t>
  </si>
  <si>
    <t>Any existing VD portfolio under contract?</t>
  </si>
  <si>
    <t>No</t>
  </si>
  <si>
    <t>Client Address</t>
  </si>
  <si>
    <t>AM STADTPARK 9</t>
  </si>
  <si>
    <t>PIF submitted?</t>
  </si>
  <si>
    <t>If existing, when does the contract end?</t>
  </si>
  <si>
    <t>Ukraine only</t>
  </si>
  <si>
    <t>Client Notice Address</t>
  </si>
  <si>
    <t>Client live with VDC?</t>
  </si>
  <si>
    <t>Both AFT &amp; OCT</t>
  </si>
  <si>
    <t>Start Date for the new deal (qtr beginning)</t>
  </si>
  <si>
    <t>CW Number</t>
  </si>
  <si>
    <t xml:space="preserve">Existing OCT_L12 months (€ PV) </t>
  </si>
  <si>
    <t>countries live: AT, UA, Slovakia, Kosovo, Poland, Albania,</t>
  </si>
  <si>
    <t>End Date for the new deal (qtr ending)</t>
  </si>
  <si>
    <t>FY Number</t>
  </si>
  <si>
    <t>Existing OCT_L12 months (Txn count)</t>
  </si>
  <si>
    <t>Break clause year (if any)</t>
  </si>
  <si>
    <t>BID Identifier</t>
  </si>
  <si>
    <t>V10069913</t>
  </si>
  <si>
    <t>Existing AFT_L12 months (€ PV)</t>
  </si>
  <si>
    <t>countries live: AT, UA, Slovakia, Kosovo, Poland, Albania, Czech Republic</t>
  </si>
  <si>
    <t>Existing AFT_L12 months (Txn count)</t>
  </si>
  <si>
    <t xml:space="preserve">	59,876,805</t>
  </si>
  <si>
    <t>Microsoft Dynamics Ref (OPP-000XXXXXX)</t>
  </si>
  <si>
    <t>Market Name (or Pan EU)?</t>
  </si>
  <si>
    <t>Sharepoint folder link for model and VDDR deck:</t>
  </si>
  <si>
    <t>https://visainc.sharepoint.com/:f:/r/sites/VDWPricingTemplateGroup/Shared%20Documents/AE%20Intake%20Form%20(VDC)?csf=1&amp;web=1&amp;e=shDlBz</t>
  </si>
  <si>
    <t>Link for AFT Money Load Program</t>
  </si>
  <si>
    <t>https://visa.highspot.com/items/64b7ed48d004140237384d7a</t>
  </si>
  <si>
    <t>Link for OCT Strategic Alliance Fee Program</t>
  </si>
  <si>
    <t>https://visa.highspot.com/items/64b7ed7e2b4f9c04ea94b456</t>
  </si>
  <si>
    <t>EEA</t>
  </si>
  <si>
    <t>INTRA EEA</t>
  </si>
  <si>
    <t>Modelling Assumptions</t>
  </si>
  <si>
    <t>Mandatory Fields</t>
  </si>
  <si>
    <t>Optional Fields</t>
  </si>
  <si>
    <t>FX EUR/USD</t>
  </si>
  <si>
    <r>
      <rPr>
        <b/>
        <sz val="14"/>
        <color theme="1"/>
        <rFont val="Calibri"/>
        <family val="2"/>
        <scheme val="minor"/>
      </rPr>
      <t>Guidance on completing input sheet:</t>
    </r>
    <r>
      <rPr>
        <sz val="14"/>
        <color theme="1"/>
        <rFont val="Calibri"/>
        <family val="2"/>
        <scheme val="minor"/>
      </rPr>
      <t xml:space="preserve">
1. Please fill in cells highlighted in Yellow - INPUT in EUROS
2. Please select the Market from the drop down. If multiple markets, please select the biggest market for the opportunity.
3. UK/IS/CH/TK to rest of EU is Intra NON-EEA Transaction (also vice versa). If modelling for UK/IS/CH/TK, there will not be any Intra EEA transactions.
</t>
    </r>
  </si>
  <si>
    <t>UK</t>
  </si>
  <si>
    <t>Intra NonEEA</t>
  </si>
  <si>
    <t>Turkey</t>
  </si>
  <si>
    <t>Origin Market</t>
  </si>
  <si>
    <t>Term</t>
  </si>
  <si>
    <t>FX EUR/GBP</t>
  </si>
  <si>
    <t>Israel</t>
  </si>
  <si>
    <t>Client Type</t>
  </si>
  <si>
    <t>Originator</t>
  </si>
  <si>
    <t>AFT IRF</t>
  </si>
  <si>
    <t>Rack</t>
  </si>
  <si>
    <t>Please select one option or "Rack"</t>
  </si>
  <si>
    <t>Switzerland</t>
  </si>
  <si>
    <t>self acquiring</t>
  </si>
  <si>
    <t>OCT IRF</t>
  </si>
  <si>
    <t>Destination</t>
  </si>
  <si>
    <t>Average Ticket Size</t>
  </si>
  <si>
    <t>OCT - PP &amp; AA</t>
  </si>
  <si>
    <t>OCT - FD</t>
  </si>
  <si>
    <t>AFT - PP &amp; AA</t>
  </si>
  <si>
    <t>AFT - FD &amp; LA</t>
  </si>
  <si>
    <t>Cross Curr %</t>
  </si>
  <si>
    <t>Credit %</t>
  </si>
  <si>
    <t>Debit %</t>
  </si>
  <si>
    <t>DOM</t>
  </si>
  <si>
    <t>INTRA Non-EEA</t>
  </si>
  <si>
    <t>INTER</t>
  </si>
  <si>
    <t>Mapping Table - Do not change/delete</t>
  </si>
  <si>
    <t>Input Number of Transactions by Jurisdiction in Yellow Cells</t>
  </si>
  <si>
    <t>Total</t>
  </si>
  <si>
    <t>Total PV</t>
  </si>
  <si>
    <t>INTRA EEA - Euro</t>
  </si>
  <si>
    <t>INTRA EEA - non Euro</t>
  </si>
  <si>
    <t>Choose Main and Detailed Use Case for OCT P2P</t>
  </si>
  <si>
    <t>Secondary (BAI)</t>
  </si>
  <si>
    <t>Tertiary BAI</t>
  </si>
  <si>
    <t>Total Transactions</t>
  </si>
  <si>
    <t>Remittances</t>
  </si>
  <si>
    <t>XB P2P (Back-to-back)</t>
  </si>
  <si>
    <t>PP</t>
  </si>
  <si>
    <t>AA</t>
  </si>
  <si>
    <t>XB Funds Transfer (Send funds to receiver only)</t>
  </si>
  <si>
    <t>Person2Person(P2P)</t>
  </si>
  <si>
    <t>Wallet Transfers</t>
  </si>
  <si>
    <t>WT</t>
  </si>
  <si>
    <t>Money Transfers</t>
  </si>
  <si>
    <t>Choose Main and Detailed Use Case for OCT FD</t>
  </si>
  <si>
    <t>Choose Main and Detailed Use Case for AFT</t>
  </si>
  <si>
    <t>Grand Total Transactions</t>
  </si>
  <si>
    <t>Start Qtr</t>
  </si>
  <si>
    <t>End Qtr</t>
  </si>
  <si>
    <t>MLP T1</t>
  </si>
  <si>
    <t>Standard - EU - Instant Funding Program Tier 1</t>
  </si>
  <si>
    <t>MLP T2</t>
  </si>
  <si>
    <t>Standard - EU - Instant Funding Program Tier 2</t>
  </si>
  <si>
    <t>SAFP</t>
  </si>
  <si>
    <t>Standard - EU - Strategic Alliance Fee Programme</t>
  </si>
  <si>
    <t>Option 2 (Only XB OCTs, tiered discount)</t>
  </si>
  <si>
    <r>
      <rPr>
        <b/>
        <sz val="12"/>
        <rFont val="Calibri"/>
        <family val="2"/>
        <scheme val="minor"/>
      </rPr>
      <t>Option 1</t>
    </r>
    <r>
      <rPr>
        <b/>
        <sz val="11"/>
        <rFont val="Calibri"/>
        <family val="2"/>
        <scheme val="minor"/>
      </rPr>
      <t>: Flat % discount on all core OCT fees (AFTs excluded), Max 35%. For small deals cap at 25%</t>
    </r>
  </si>
  <si>
    <r>
      <rPr>
        <b/>
        <sz val="12"/>
        <rFont val="Calibri"/>
        <family val="2"/>
        <scheme val="minor"/>
      </rPr>
      <t>Option 2</t>
    </r>
    <r>
      <rPr>
        <b/>
        <sz val="11"/>
        <rFont val="Calibri"/>
        <family val="2"/>
        <scheme val="minor"/>
      </rPr>
      <t>: Tiered XB Discount on XB OCTs only (refer to tiering Table) - standard tier table</t>
    </r>
  </si>
  <si>
    <r>
      <rPr>
        <b/>
        <sz val="12"/>
        <rFont val="Calibri"/>
        <family val="2"/>
        <scheme val="minor"/>
      </rPr>
      <t>Option 3</t>
    </r>
    <r>
      <rPr>
        <b/>
        <sz val="11"/>
        <rFont val="Calibri"/>
        <family val="2"/>
        <scheme val="minor"/>
      </rPr>
      <t>: Tiered % Discount on All OCTs, tiering by DOM/Intra and XB</t>
    </r>
  </si>
  <si>
    <t>Enterprie Adj. AANR</t>
  </si>
  <si>
    <t>EU VD Only
Adj. AANR</t>
  </si>
  <si>
    <t>OCT Txn %</t>
  </si>
  <si>
    <t>AFT Txn %</t>
  </si>
  <si>
    <t xml:space="preserve">Total </t>
  </si>
  <si>
    <t>PV - Total EUROS</t>
  </si>
  <si>
    <t>Transactions - Total</t>
  </si>
  <si>
    <t>PV and Volumes</t>
  </si>
  <si>
    <t>PV - EU Dom</t>
  </si>
  <si>
    <t>Transactions - EU Dom</t>
  </si>
  <si>
    <t>PV - EU Intra EEA + Non-EEA</t>
  </si>
  <si>
    <t>Transactions - EU Intra EEA + Non-EEA</t>
  </si>
  <si>
    <t>Deal KPIs (EUROS)</t>
  </si>
  <si>
    <t>Term of Contract (years)</t>
  </si>
  <si>
    <t>PV - XB</t>
  </si>
  <si>
    <t>Transactions - XB</t>
  </si>
  <si>
    <t>Average Annualised Tranactions</t>
  </si>
  <si>
    <t>DOM Txn%</t>
  </si>
  <si>
    <t>Fees/revenue</t>
  </si>
  <si>
    <t>Gross Revenue (OCT+AFT)</t>
  </si>
  <si>
    <t>INTRA EEA Txn%</t>
  </si>
  <si>
    <t>Acq Processing Rev - EU Dom</t>
  </si>
  <si>
    <t>INTRA Non-EEA Txn%</t>
  </si>
  <si>
    <t>Acq Scheme Rev - EU Dom</t>
  </si>
  <si>
    <t>Inter Txn%</t>
  </si>
  <si>
    <t>Total Core Acquiring Fees</t>
  </si>
  <si>
    <t>Acq Processing Rev - EU Intra</t>
  </si>
  <si>
    <t>Total Gross Revenue</t>
  </si>
  <si>
    <t>Acq Scheme Rev - EU Intra</t>
  </si>
  <si>
    <t>Total Incentives incl IRR VAT</t>
  </si>
  <si>
    <t>Total Net Revenue</t>
  </si>
  <si>
    <t>Acquirer Rev - XB (Inter + Intra non EEA)</t>
  </si>
  <si>
    <t>AANR</t>
  </si>
  <si>
    <t>Issuer Rev (All Volumes)</t>
  </si>
  <si>
    <r>
      <t xml:space="preserve">AANR </t>
    </r>
    <r>
      <rPr>
        <sz val="11"/>
        <color rgb="FFFF0000"/>
        <rFont val="Calibri"/>
        <family val="2"/>
        <scheme val="minor"/>
      </rPr>
      <t>excl VTS</t>
    </r>
  </si>
  <si>
    <t>Other Fees (e.g. Alias Directory)</t>
  </si>
  <si>
    <t>Incentive $ of Gross Rev. incl VAT</t>
  </si>
  <si>
    <t>VIK Revenues</t>
  </si>
  <si>
    <t>Incentive $ of Core Fees excl IRR VAT</t>
  </si>
  <si>
    <t>FX Spread - Inter</t>
  </si>
  <si>
    <t>IRR VAT Rate</t>
  </si>
  <si>
    <t>FX Spread - Intra</t>
  </si>
  <si>
    <t>Visa+</t>
  </si>
  <si>
    <t>Visa+ fee waived until 2027</t>
  </si>
  <si>
    <t xml:space="preserve">Deal Breakeven </t>
  </si>
  <si>
    <t>Delegated Auth Fees (3DS/VTS)</t>
  </si>
  <si>
    <t>Upfront</t>
  </si>
  <si>
    <t>Incentives</t>
  </si>
  <si>
    <t>Total Incentives (incl VAT)</t>
  </si>
  <si>
    <t>Fixed Support</t>
  </si>
  <si>
    <t>Upfront Cash - earned out</t>
  </si>
  <si>
    <t>end of 2027</t>
  </si>
  <si>
    <t>Upfront VIK (Gross, including VAT) - earned out</t>
  </si>
  <si>
    <t>Volume Support</t>
  </si>
  <si>
    <t>Fixed Support - earned out</t>
  </si>
  <si>
    <t>Total Incentive Value</t>
  </si>
  <si>
    <t>VIK Support (Gross, including VAT) - earned out</t>
  </si>
  <si>
    <t>Please review the RED cells as these indicate an error</t>
  </si>
  <si>
    <t>Volume Support (milestone based)</t>
  </si>
  <si>
    <t>Select Incetive structure option below
Note: All Options include earnout of Upfront, VIK and Fixed Incentives</t>
  </si>
  <si>
    <t>VAT on Merchant Support</t>
  </si>
  <si>
    <t>Net Revenue</t>
  </si>
  <si>
    <t>Cumulative Net Revenue</t>
  </si>
  <si>
    <t>Variable Costs</t>
  </si>
  <si>
    <t>Auth</t>
  </si>
  <si>
    <t>C&amp;S</t>
  </si>
  <si>
    <t>VIK Costs</t>
  </si>
  <si>
    <t>Contribution</t>
  </si>
  <si>
    <t>Cumulative Contribution</t>
  </si>
  <si>
    <t>Cumulative NPV</t>
  </si>
  <si>
    <t>Per Transaction Yield</t>
  </si>
  <si>
    <t>NRY (on PV)</t>
  </si>
  <si>
    <t>Cumulative NRY (on PV)</t>
  </si>
  <si>
    <t>NPV (Cumulative)</t>
  </si>
  <si>
    <t>NPV</t>
  </si>
  <si>
    <t>Total Variable Processing Costs</t>
  </si>
  <si>
    <t>Core Fees</t>
  </si>
  <si>
    <t>Amortized Discount</t>
  </si>
  <si>
    <t>OCT only (destination)</t>
  </si>
  <si>
    <t>Net Issuing Yield (Please Update for Market)</t>
  </si>
  <si>
    <t>AFT Only (originator market)</t>
  </si>
  <si>
    <t>OCT PV (DOM, IntraEEA, Intra NonEEA)</t>
  </si>
  <si>
    <t>AFT PV (DOM, IntraEEA, Intra NonEEA)</t>
  </si>
  <si>
    <t>Total NS Issuing Fees</t>
  </si>
  <si>
    <t>Assessing Deal Term Contribution</t>
  </si>
  <si>
    <t>Breakeven Year based on Contribution (Cash flow)</t>
  </si>
  <si>
    <t>Check with finance to change tiers</t>
  </si>
  <si>
    <t>Option 2 Discount Table</t>
  </si>
  <si>
    <t>Core Revenue Split by Prod</t>
  </si>
  <si>
    <t>% Split</t>
  </si>
  <si>
    <t>%Split Over ride</t>
  </si>
  <si>
    <t>XB OCT Txns from</t>
  </si>
  <si>
    <t>XB OCT Txns to</t>
  </si>
  <si>
    <t>Discount on Core XB OCTFees</t>
  </si>
  <si>
    <t>OCT P2P DOM</t>
  </si>
  <si>
    <t>OCT P2P Intra</t>
  </si>
  <si>
    <t>OCT P2P Inter</t>
  </si>
  <si>
    <t>OCT FD DOM</t>
  </si>
  <si>
    <t>OCT FD Intra</t>
  </si>
  <si>
    <t>Uncapped</t>
  </si>
  <si>
    <t>OCT FD Inter</t>
  </si>
  <si>
    <t>AFT DOM</t>
  </si>
  <si>
    <t>AFT Intra</t>
  </si>
  <si>
    <t>Option 3 Discount Table, use with XB table above</t>
  </si>
  <si>
    <t>AFT Inter</t>
  </si>
  <si>
    <t>DOM/Intra OCT From</t>
  </si>
  <si>
    <t>DOM/Intra OCT To</t>
  </si>
  <si>
    <t>Discount on Total Core Fees</t>
  </si>
  <si>
    <t>BELOW INCENTIVE CALC</t>
  </si>
  <si>
    <t>XB OCT Txn</t>
  </si>
  <si>
    <t>XB OCT PV</t>
  </si>
  <si>
    <t>XB OCT Fee discount</t>
  </si>
  <si>
    <t>Incentive on XB OCT</t>
  </si>
  <si>
    <t>DOM/Intra OCT Txns</t>
  </si>
  <si>
    <t>DOM/Intra OCT Fee discount</t>
  </si>
  <si>
    <t>Incentive on DOM/Intra OCT</t>
  </si>
  <si>
    <t>Select Incentive Option</t>
  </si>
  <si>
    <t>Option 1 (Input Flat Discount %, excludes AFT)</t>
  </si>
  <si>
    <t>Option 3 (Tiered DOM/Intra OCT, Tiered XB OCT)</t>
  </si>
  <si>
    <t>Final Discount as per Option</t>
  </si>
  <si>
    <t>DOM/Intra</t>
  </si>
  <si>
    <t>Inter</t>
  </si>
  <si>
    <t>Incentive split by jurisdiction</t>
  </si>
  <si>
    <t>Dom only</t>
  </si>
  <si>
    <t>Intra EEA</t>
  </si>
  <si>
    <t>Intra Non EEA</t>
  </si>
  <si>
    <t>VAT split by jurisdiction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</si>
</sst>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00_);_(* \(#,##0.00\);_(* &quot;-&quot;??_);_(@_)"/>
    <numFmt numFmtId="165" formatCode="_(* #,##0_);_(* \(#,##0\);_(* &quot;-&quot;??_);_(@_)"/>
    <numFmt numFmtId="166" formatCode="[$€-2]\ #,##0"/>
    <numFmt numFmtId="167" formatCode="_(* #,##0.0000_);_(* \(#,##0.0000\);_(* &quot;-&quot;??_);_(@_)"/>
    <numFmt numFmtId="168" formatCode="&quot;Year &quot;0"/>
    <numFmt numFmtId="169" formatCode="\€\ #,##0.000,,\ &quot;M&quot;;[Red]\(\€\ #,##0.000,,\ &quot;M&quot;\)"/>
    <numFmt numFmtId="170" formatCode="\$\ #,##0.000,,\ &quot;M&quot;;[Red]\(\$\ #,##0.000,,\ &quot;M&quot;\)"/>
    <numFmt numFmtId="171" formatCode="0.0%"/>
    <numFmt numFmtId="172" formatCode="_(* #,##0.0_);_(* \(#,##0.0\);_(* &quot;-&quot;??_);_(@_)"/>
    <numFmt numFmtId="173" formatCode="_(&quot;$&quot;* #,##0_);_(&quot;$&quot;* \(#,##0\);_(&quot;$&quot;* &quot;-&quot;??_);_(@_)"/>
    <numFmt numFmtId="174" formatCode="0.000%"/>
    <numFmt numFmtId="175" formatCode="_(* #,##0.00000000_);_(* \(#,##0.00000000\);_(* &quot;-&quot;??_);_(@_)"/>
    <numFmt numFmtId="176" formatCode="_([$$-409]* #,##0.00_);_([$$-409]* \(#,##0.00\);_([$$-409]* &quot;-&quot;??_);_(@_)"/>
    <numFmt numFmtId="177" formatCode="_(* #,##0.000_);_(* \(#,##0.000\);_(* &quot;-&quot;??_);_(@_)"/>
  </numFmts>
  <fonts count="41"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6"/>
      <color rgb="FFFF0000"/>
      <name val="Calibri"/>
      <family val="2"/>
      <scheme val="minor"/>
    </font>
    <font>
      <b/>
      <sz val="11"/>
      <color rgb="FF00B050"/>
      <name val="Calibri"/>
      <family val="2"/>
      <scheme val="minor"/>
    </font>
    <font>
      <b/>
      <sz val="14"/>
      <color rgb="FF00B050"/>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
      <sz val="12"/>
      <name val="Arial"/>
      <family val="2"/>
    </font>
    <font>
      <sz val="11"/>
      <name val="Calibri"/>
      <family val="2"/>
      <scheme val="minor"/>
    </font>
    <font>
      <b/>
      <sz val="11"/>
      <name val="Calibri"/>
      <family val="2"/>
      <scheme val="minor"/>
    </font>
    <font>
      <sz val="10"/>
      <name val="Arial"/>
      <family val="2"/>
    </font>
    <font>
      <b/>
      <sz val="11"/>
      <color rgb="FFFF0000"/>
      <name val="Calibri"/>
      <family val="2"/>
      <scheme val="minor"/>
    </font>
    <font>
      <b/>
      <sz val="14"/>
      <color theme="0"/>
      <name val="Calibri"/>
      <family val="2"/>
      <scheme val="minor"/>
    </font>
    <font>
      <sz val="8"/>
      <color rgb="FF000000"/>
      <name val="Segoe UI Semibold"/>
      <family val="2"/>
    </font>
    <font>
      <b/>
      <sz val="20"/>
      <color rgb="FFFF0000"/>
      <name val="Calibri"/>
      <family val="2"/>
      <scheme val="minor"/>
    </font>
    <font>
      <b/>
      <sz val="20"/>
      <name val="Calibri"/>
      <family val="2"/>
      <scheme val="minor"/>
    </font>
    <font>
      <b/>
      <sz val="16"/>
      <color theme="0"/>
      <name val="Calibri"/>
      <family val="2"/>
      <scheme val="minor"/>
    </font>
    <font>
      <b/>
      <sz val="16"/>
      <color theme="1"/>
      <name val="Calibri"/>
      <family val="2"/>
      <scheme val="minor"/>
    </font>
    <font>
      <sz val="16"/>
      <color theme="1"/>
      <name val="Calibri"/>
      <family val="2"/>
      <scheme val="minor"/>
    </font>
    <font>
      <sz val="18"/>
      <color theme="1"/>
      <name val="Calibri"/>
      <family val="2"/>
      <scheme val="minor"/>
    </font>
    <font>
      <b/>
      <sz val="16"/>
      <name val="Calibri"/>
      <family val="2"/>
      <scheme val="minor"/>
    </font>
    <font>
      <b/>
      <sz val="11"/>
      <color theme="5"/>
      <name val="Calibri"/>
      <family val="2"/>
      <scheme val="minor"/>
    </font>
    <font>
      <b/>
      <sz val="10"/>
      <color rgb="FFF7B600"/>
      <name val="Calibri Light"/>
      <family val="2"/>
      <scheme val="major"/>
    </font>
    <font>
      <b/>
      <sz val="12"/>
      <color theme="1"/>
      <name val="Calibri"/>
      <family val="2"/>
      <scheme val="minor"/>
    </font>
    <font>
      <b/>
      <sz val="12"/>
      <name val="Calibri"/>
      <family val="2"/>
      <scheme val="minor"/>
    </font>
    <font>
      <b/>
      <sz val="12"/>
      <color rgb="FF000000"/>
      <name val="Visa Dialect Regular"/>
    </font>
    <font>
      <b/>
      <sz val="11"/>
      <color rgb="FF000000"/>
      <name val="Calibri Light"/>
      <family val="2"/>
    </font>
    <font>
      <sz val="11"/>
      <color rgb="FF000000"/>
      <name val="Calibri Light"/>
      <family val="2"/>
    </font>
    <font>
      <b/>
      <sz val="11"/>
      <color theme="7"/>
      <name val="Calibri"/>
      <family val="2"/>
      <scheme val="minor"/>
    </font>
    <font>
      <sz val="11"/>
      <name val="Calibri Light"/>
      <family val="2"/>
    </font>
    <font>
      <i/>
      <sz val="11"/>
      <name val="Calibri Light"/>
      <family val="2"/>
    </font>
    <font>
      <b/>
      <sz val="11"/>
      <color theme="1"/>
      <name val="Calibri Light"/>
      <family val="2"/>
      <scheme val="major"/>
    </font>
    <font>
      <sz val="11"/>
      <color theme="1"/>
      <name val="Calibri Light"/>
      <family val="2"/>
      <scheme val="major"/>
    </font>
    <font>
      <b/>
      <sz val="10"/>
      <color rgb="FF1A1F71"/>
      <name val="Calibri Light"/>
      <family val="2"/>
      <scheme val="major"/>
    </font>
    <font>
      <b/>
      <u/>
      <sz val="11"/>
      <color theme="1"/>
      <name val="Calibri"/>
      <family val="2"/>
      <scheme val="minor"/>
    </font>
  </fonts>
  <fills count="21">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0.499984740745262"/>
        <bgColor indexed="64"/>
      </patternFill>
    </fill>
    <fill>
      <patternFill patternType="solid">
        <fgColor indexed="9"/>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rgb="FFFFC000"/>
        <bgColor indexed="64"/>
      </patternFill>
    </fill>
    <fill>
      <patternFill patternType="solid">
        <fgColor rgb="FF92D050"/>
        <bgColor indexed="64"/>
      </patternFill>
    </fill>
    <fill>
      <patternFill patternType="solid">
        <fgColor rgb="FF1A1F7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00206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indexed="9"/>
        <bgColor indexed="56"/>
      </patternFill>
    </fill>
  </fills>
  <borders count="5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1" tint="0.499984740745262"/>
      </left>
      <right/>
      <top/>
      <bottom/>
      <diagonal/>
    </border>
    <border>
      <left style="medium">
        <color indexed="64"/>
      </left>
      <right/>
      <top/>
      <bottom style="thin">
        <color indexed="64"/>
      </bottom>
      <diagonal/>
    </border>
    <border>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13" fillId="0" borderId="0"/>
    <xf numFmtId="0" fontId="16" fillId="0" borderId="0"/>
  </cellStyleXfs>
  <cellXfs count="367">
    <xf numFmtId="0" fontId="0" fillId="0" borderId="0" xfId="0"/>
    <xf numFmtId="0" fontId="0" fillId="0" borderId="0" xfId="0" applyProtection="1">
      <protection locked="0"/>
    </xf>
    <xf numFmtId="0" fontId="7" fillId="2" borderId="1"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vertical="center" wrapText="1"/>
      <protection locked="0"/>
    </xf>
    <xf numFmtId="0" fontId="8" fillId="0" borderId="3" xfId="0" applyFont="1" applyBorder="1" applyAlignment="1" applyProtection="1">
      <alignment horizontal="left" vertical="center" wrapText="1"/>
      <protection locked="0"/>
    </xf>
    <xf numFmtId="0" fontId="4" fillId="2" borderId="3" xfId="0" applyFont="1" applyFill="1" applyBorder="1" applyAlignment="1" applyProtection="1">
      <alignment horizontal="left" vertical="center" wrapText="1"/>
      <protection locked="0"/>
    </xf>
    <xf numFmtId="0" fontId="9" fillId="0" borderId="3" xfId="0" applyFont="1" applyBorder="1" applyAlignment="1" applyProtection="1">
      <alignment vertical="center"/>
      <protection locked="0"/>
    </xf>
    <xf numFmtId="0" fontId="10" fillId="2" borderId="3" xfId="0"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2" xfId="0" applyFont="1" applyBorder="1" applyAlignment="1" applyProtection="1">
      <alignment horizontal="center" vertical="center"/>
      <protection locked="0"/>
    </xf>
    <xf numFmtId="0" fontId="11" fillId="0" borderId="0" xfId="0" applyFont="1" applyProtection="1">
      <protection locked="0"/>
    </xf>
    <xf numFmtId="0" fontId="11" fillId="0" borderId="2" xfId="0" applyFont="1" applyBorder="1" applyAlignment="1" applyProtection="1">
      <alignment horizontal="center" vertical="center" wrapText="1"/>
      <protection locked="0"/>
    </xf>
    <xf numFmtId="0" fontId="8" fillId="3" borderId="1" xfId="0" applyFont="1" applyFill="1" applyBorder="1" applyAlignment="1" applyProtection="1">
      <alignment horizontal="left" vertical="center" wrapText="1"/>
      <protection locked="0"/>
    </xf>
    <xf numFmtId="0" fontId="8" fillId="3" borderId="5" xfId="0" applyFont="1" applyFill="1" applyBorder="1" applyAlignment="1" applyProtection="1">
      <alignment horizontal="left" vertical="center" wrapText="1"/>
      <protection locked="0"/>
    </xf>
    <xf numFmtId="0" fontId="4" fillId="4" borderId="3" xfId="0" applyFont="1" applyFill="1" applyBorder="1" applyAlignment="1">
      <alignment horizontal="left" vertical="center" wrapText="1"/>
    </xf>
    <xf numFmtId="0" fontId="8" fillId="3" borderId="3" xfId="0" applyFont="1" applyFill="1" applyBorder="1" applyAlignment="1" applyProtection="1">
      <alignment horizontal="left" vertical="center" wrapText="1"/>
      <protection locked="0"/>
    </xf>
    <xf numFmtId="0" fontId="11" fillId="0" borderId="6" xfId="0" applyFont="1" applyBorder="1" applyAlignment="1" applyProtection="1">
      <alignment horizontal="center" vertical="center"/>
      <protection locked="0"/>
    </xf>
    <xf numFmtId="0" fontId="11" fillId="0" borderId="7" xfId="0" applyFont="1" applyBorder="1" applyAlignment="1" applyProtection="1">
      <alignment horizontal="center" vertical="center"/>
      <protection locked="0"/>
    </xf>
    <xf numFmtId="0" fontId="11" fillId="0" borderId="6"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14" fillId="5" borderId="8" xfId="4" applyFont="1" applyFill="1" applyBorder="1" applyProtection="1">
      <protection locked="0"/>
    </xf>
    <xf numFmtId="0" fontId="15" fillId="0" borderId="9" xfId="4" applyFont="1" applyBorder="1" applyAlignment="1" applyProtection="1">
      <alignment horizontal="left" vertical="top"/>
      <protection locked="0"/>
    </xf>
    <xf numFmtId="0" fontId="15" fillId="0" borderId="10" xfId="4" applyFont="1" applyBorder="1" applyAlignment="1" applyProtection="1">
      <alignment horizontal="left" vertical="top"/>
      <protection locked="0"/>
    </xf>
    <xf numFmtId="0" fontId="15" fillId="0" borderId="11" xfId="4" applyFont="1" applyBorder="1" applyAlignment="1" applyProtection="1">
      <alignment horizontal="left" vertical="top"/>
      <protection locked="0"/>
    </xf>
    <xf numFmtId="0" fontId="15" fillId="0" borderId="12" xfId="4" applyFont="1" applyBorder="1" applyAlignment="1" applyProtection="1">
      <alignment horizontal="left" vertical="top"/>
      <protection locked="0"/>
    </xf>
    <xf numFmtId="0" fontId="14" fillId="5" borderId="0" xfId="4" applyFont="1" applyFill="1" applyProtection="1">
      <protection locked="0"/>
    </xf>
    <xf numFmtId="0" fontId="14" fillId="2" borderId="13" xfId="5" applyFont="1" applyFill="1" applyBorder="1" applyAlignment="1" applyProtection="1">
      <alignment horizontal="left" vertical="center" wrapText="1"/>
      <protection locked="0"/>
    </xf>
    <xf numFmtId="0" fontId="14" fillId="2" borderId="14" xfId="5" applyFont="1" applyFill="1" applyBorder="1" applyAlignment="1" applyProtection="1">
      <alignment horizontal="left" vertical="center" wrapText="1"/>
      <protection locked="0"/>
    </xf>
    <xf numFmtId="0" fontId="14" fillId="2" borderId="15" xfId="5" applyFont="1" applyFill="1" applyBorder="1" applyAlignment="1" applyProtection="1">
      <alignment horizontal="left" vertical="center" wrapText="1"/>
      <protection locked="0"/>
    </xf>
    <xf numFmtId="0" fontId="14" fillId="5" borderId="1" xfId="4" applyFont="1" applyFill="1" applyBorder="1" applyAlignment="1">
      <alignment horizontal="left" vertical="center" wrapText="1"/>
    </xf>
    <xf numFmtId="0" fontId="14" fillId="5" borderId="5" xfId="4" applyFont="1" applyFill="1" applyBorder="1" applyAlignment="1">
      <alignment horizontal="center" vertical="center"/>
    </xf>
    <xf numFmtId="0" fontId="14" fillId="5" borderId="1" xfId="4" applyFont="1" applyFill="1" applyBorder="1" applyAlignment="1" applyProtection="1">
      <alignment horizontal="center"/>
      <protection locked="0"/>
    </xf>
    <xf numFmtId="0" fontId="14" fillId="5" borderId="5" xfId="4" applyFont="1" applyFill="1" applyBorder="1" applyAlignment="1" applyProtection="1">
      <alignment horizontal="center"/>
      <protection locked="0"/>
    </xf>
    <xf numFmtId="0" fontId="15" fillId="0" borderId="16" xfId="4" applyFont="1" applyBorder="1" applyAlignment="1" applyProtection="1">
      <alignment horizontal="left" vertical="top" wrapText="1"/>
      <protection locked="0"/>
    </xf>
    <xf numFmtId="0" fontId="15" fillId="0" borderId="11" xfId="4" applyFont="1" applyBorder="1" applyAlignment="1" applyProtection="1">
      <alignment horizontal="left" vertical="top" wrapText="1"/>
      <protection locked="0"/>
    </xf>
    <xf numFmtId="0" fontId="15" fillId="0" borderId="12" xfId="4" applyFont="1" applyBorder="1" applyAlignment="1" applyProtection="1">
      <alignment horizontal="left" vertical="top" wrapText="1"/>
      <protection locked="0"/>
    </xf>
    <xf numFmtId="0" fontId="14" fillId="5" borderId="0" xfId="4" applyFont="1" applyFill="1"/>
    <xf numFmtId="0" fontId="14" fillId="2" borderId="14" xfId="5" applyFont="1" applyFill="1" applyBorder="1" applyAlignment="1" applyProtection="1">
      <alignment horizontal="left" vertical="center"/>
      <protection locked="0"/>
    </xf>
    <xf numFmtId="0" fontId="14" fillId="2" borderId="15" xfId="5" applyFont="1" applyFill="1" applyBorder="1" applyAlignment="1" applyProtection="1">
      <alignment horizontal="left" vertical="center"/>
      <protection locked="0"/>
    </xf>
    <xf numFmtId="0" fontId="14" fillId="5" borderId="0" xfId="4" applyFont="1" applyFill="1" applyAlignment="1" applyProtection="1">
      <alignment vertical="center"/>
      <protection locked="0"/>
    </xf>
    <xf numFmtId="0" fontId="14" fillId="5" borderId="1" xfId="4" applyFont="1" applyFill="1" applyBorder="1" applyAlignment="1" applyProtection="1">
      <alignment horizontal="center" vertical="center" wrapText="1"/>
      <protection locked="0"/>
    </xf>
    <xf numFmtId="0" fontId="14" fillId="5" borderId="5" xfId="4" applyFont="1" applyFill="1" applyBorder="1" applyAlignment="1" applyProtection="1">
      <alignment horizontal="center" vertical="center" wrapText="1"/>
      <protection locked="0"/>
    </xf>
    <xf numFmtId="0" fontId="14" fillId="2" borderId="17" xfId="5" applyFont="1" applyFill="1" applyBorder="1" applyAlignment="1" applyProtection="1">
      <alignment horizontal="left" vertical="center" wrapText="1"/>
      <protection locked="0"/>
    </xf>
    <xf numFmtId="0" fontId="14" fillId="2" borderId="18" xfId="5" applyFont="1" applyFill="1" applyBorder="1" applyAlignment="1" applyProtection="1">
      <alignment horizontal="left" vertical="center"/>
      <protection locked="0"/>
    </xf>
    <xf numFmtId="0" fontId="14" fillId="2" borderId="19" xfId="5" applyFont="1" applyFill="1" applyBorder="1" applyAlignment="1" applyProtection="1">
      <alignment horizontal="left" vertical="center"/>
      <protection locked="0"/>
    </xf>
    <xf numFmtId="165" fontId="0" fillId="0" borderId="0" xfId="1" applyNumberFormat="1" applyFont="1" applyProtection="1">
      <protection locked="0"/>
    </xf>
    <xf numFmtId="0" fontId="17" fillId="2" borderId="1" xfId="0" applyFont="1" applyFill="1" applyBorder="1" applyAlignment="1" applyProtection="1">
      <alignment vertical="center"/>
      <protection locked="0"/>
    </xf>
    <xf numFmtId="0" fontId="0" fillId="2" borderId="5" xfId="0" applyFill="1" applyBorder="1" applyAlignment="1" applyProtection="1">
      <alignment vertical="center"/>
      <protection locked="0"/>
    </xf>
    <xf numFmtId="0" fontId="0" fillId="2" borderId="5" xfId="0" applyFill="1" applyBorder="1" applyAlignment="1" applyProtection="1">
      <alignment horizontal="right" vertical="center"/>
      <protection locked="0"/>
    </xf>
    <xf numFmtId="0" fontId="17" fillId="2" borderId="1" xfId="0" applyFont="1" applyFill="1" applyBorder="1" applyProtection="1">
      <protection locked="0"/>
    </xf>
    <xf numFmtId="0" fontId="0" fillId="2" borderId="20" xfId="0" applyFill="1" applyBorder="1" applyProtection="1">
      <protection locked="0"/>
    </xf>
    <xf numFmtId="0" fontId="0" fillId="2" borderId="5" xfId="0" applyFill="1" applyBorder="1" applyProtection="1">
      <protection locked="0"/>
    </xf>
    <xf numFmtId="0" fontId="0" fillId="2" borderId="21" xfId="0" applyFill="1" applyBorder="1" applyProtection="1">
      <protection locked="0"/>
    </xf>
    <xf numFmtId="0" fontId="0" fillId="2" borderId="2" xfId="0" applyFill="1" applyBorder="1" applyProtection="1">
      <protection locked="0"/>
    </xf>
    <xf numFmtId="0" fontId="0" fillId="2" borderId="4" xfId="0" applyFill="1" applyBorder="1" applyAlignment="1" applyProtection="1">
      <alignment vertical="center"/>
      <protection locked="0"/>
    </xf>
    <xf numFmtId="0" fontId="0" fillId="2" borderId="2" xfId="0" applyFill="1" applyBorder="1" applyAlignment="1" applyProtection="1">
      <alignment vertical="center"/>
      <protection locked="0"/>
    </xf>
    <xf numFmtId="0" fontId="11" fillId="2" borderId="2" xfId="0" applyFont="1" applyFill="1" applyBorder="1" applyAlignment="1" applyProtection="1">
      <alignment horizontal="right" vertical="center"/>
      <protection locked="0"/>
    </xf>
    <xf numFmtId="0" fontId="3" fillId="0" borderId="0" xfId="0" applyFont="1" applyProtection="1">
      <protection locked="0"/>
    </xf>
    <xf numFmtId="0" fontId="0" fillId="2" borderId="4" xfId="0" applyFill="1" applyBorder="1" applyProtection="1">
      <protection locked="0"/>
    </xf>
    <xf numFmtId="0" fontId="0" fillId="2" borderId="22" xfId="0" applyFill="1" applyBorder="1" applyProtection="1">
      <protection locked="0"/>
    </xf>
    <xf numFmtId="165" fontId="0" fillId="2" borderId="2" xfId="1" applyNumberFormat="1" applyFont="1" applyFill="1" applyBorder="1" applyAlignment="1" applyProtection="1">
      <alignment horizontal="center" vertical="center"/>
      <protection locked="0"/>
    </xf>
    <xf numFmtId="0" fontId="0" fillId="2" borderId="23" xfId="0" applyFill="1" applyBorder="1" applyAlignment="1" applyProtection="1">
      <alignment vertical="center"/>
      <protection locked="0"/>
    </xf>
    <xf numFmtId="0" fontId="0" fillId="2" borderId="24" xfId="0" applyFill="1" applyBorder="1" applyAlignment="1" applyProtection="1">
      <alignment vertical="center"/>
      <protection locked="0"/>
    </xf>
    <xf numFmtId="0" fontId="11" fillId="2" borderId="24" xfId="0" applyFont="1" applyFill="1" applyBorder="1" applyAlignment="1" applyProtection="1">
      <alignment horizontal="right" vertical="center"/>
      <protection locked="0"/>
    </xf>
    <xf numFmtId="0" fontId="0" fillId="2" borderId="23" xfId="0" applyFill="1" applyBorder="1" applyProtection="1">
      <protection locked="0"/>
    </xf>
    <xf numFmtId="0" fontId="0" fillId="2" borderId="24" xfId="0" applyFill="1" applyBorder="1" applyProtection="1">
      <protection locked="0"/>
    </xf>
    <xf numFmtId="0" fontId="0" fillId="2" borderId="25" xfId="0" applyFill="1" applyBorder="1" applyProtection="1">
      <protection locked="0"/>
    </xf>
    <xf numFmtId="165" fontId="0" fillId="2" borderId="24" xfId="1" applyNumberFormat="1" applyFont="1" applyFill="1" applyBorder="1" applyAlignment="1" applyProtection="1">
      <alignment horizontal="center" vertical="center"/>
      <protection locked="0"/>
    </xf>
    <xf numFmtId="14" fontId="11" fillId="2" borderId="24" xfId="0" applyNumberFormat="1" applyFont="1" applyFill="1" applyBorder="1" applyAlignment="1" applyProtection="1">
      <alignment horizontal="right" vertical="center"/>
      <protection locked="0"/>
    </xf>
    <xf numFmtId="166" fontId="0" fillId="2" borderId="24" xfId="1" applyNumberFormat="1" applyFont="1" applyFill="1" applyBorder="1" applyAlignment="1" applyProtection="1">
      <alignment horizontal="center" vertical="center" wrapText="1"/>
      <protection locked="0"/>
    </xf>
    <xf numFmtId="0" fontId="0" fillId="0" borderId="0" xfId="0" applyAlignment="1" applyProtection="1">
      <alignment vertical="center" wrapText="1"/>
      <protection locked="0"/>
    </xf>
    <xf numFmtId="0" fontId="2" fillId="4" borderId="23" xfId="0" applyFont="1" applyFill="1" applyBorder="1" applyAlignment="1" applyProtection="1">
      <alignment vertical="center"/>
      <protection locked="0"/>
    </xf>
    <xf numFmtId="0" fontId="2" fillId="4" borderId="24" xfId="0" applyFont="1" applyFill="1" applyBorder="1" applyAlignment="1" applyProtection="1">
      <alignment vertical="center"/>
      <protection locked="0"/>
    </xf>
    <xf numFmtId="14" fontId="18" fillId="4" borderId="24" xfId="0" applyNumberFormat="1" applyFont="1" applyFill="1" applyBorder="1" applyAlignment="1" applyProtection="1">
      <alignment horizontal="right" vertical="center"/>
      <protection locked="0"/>
    </xf>
    <xf numFmtId="0" fontId="0" fillId="4" borderId="25" xfId="0" applyFill="1" applyBorder="1" applyProtection="1">
      <protection locked="0"/>
    </xf>
    <xf numFmtId="3" fontId="0" fillId="2" borderId="24" xfId="0" applyNumberFormat="1" applyFill="1" applyBorder="1" applyAlignment="1" applyProtection="1">
      <alignment horizontal="center" vertical="center"/>
      <protection locked="0"/>
    </xf>
    <xf numFmtId="0" fontId="0" fillId="2" borderId="6" xfId="0" applyFill="1" applyBorder="1" applyAlignment="1" applyProtection="1">
      <alignment vertical="center"/>
      <protection locked="0"/>
    </xf>
    <xf numFmtId="0" fontId="0" fillId="2" borderId="7" xfId="0" applyFill="1" applyBorder="1" applyAlignment="1" applyProtection="1">
      <alignment vertical="center"/>
      <protection locked="0"/>
    </xf>
    <xf numFmtId="0" fontId="11" fillId="2" borderId="7" xfId="0" applyFont="1" applyFill="1" applyBorder="1" applyAlignment="1" applyProtection="1">
      <alignment horizontal="right" vertical="center"/>
      <protection locked="0"/>
    </xf>
    <xf numFmtId="0" fontId="0" fillId="2" borderId="6" xfId="0" applyFill="1" applyBorder="1" applyProtection="1">
      <protection locked="0"/>
    </xf>
    <xf numFmtId="0" fontId="0" fillId="2" borderId="7" xfId="0" applyFill="1" applyBorder="1" applyProtection="1">
      <protection locked="0"/>
    </xf>
    <xf numFmtId="0" fontId="19" fillId="2" borderId="26" xfId="0" applyFont="1" applyFill="1" applyBorder="1" applyProtection="1">
      <protection locked="0"/>
    </xf>
    <xf numFmtId="166" fontId="0" fillId="2" borderId="24" xfId="1" applyNumberFormat="1" applyFont="1" applyFill="1" applyBorder="1" applyAlignment="1" applyProtection="1">
      <alignment horizontal="center" vertical="center"/>
      <protection locked="0"/>
    </xf>
    <xf numFmtId="0" fontId="0" fillId="0" borderId="0" xfId="0" applyAlignment="1" applyProtection="1">
      <alignment vertical="center"/>
      <protection locked="0"/>
    </xf>
    <xf numFmtId="0" fontId="11" fillId="0" borderId="0" xfId="0" applyFont="1" applyAlignment="1" applyProtection="1">
      <alignment horizontal="right" vertical="center"/>
      <protection locked="0"/>
    </xf>
    <xf numFmtId="3" fontId="0" fillId="2" borderId="7" xfId="0" applyNumberFormat="1" applyFill="1" applyBorder="1" applyAlignment="1" applyProtection="1">
      <alignment horizontal="center" vertical="center"/>
      <protection locked="0"/>
    </xf>
    <xf numFmtId="0" fontId="0" fillId="0" borderId="23" xfId="0" applyBorder="1" applyProtection="1">
      <protection locked="0"/>
    </xf>
    <xf numFmtId="0" fontId="0" fillId="0" borderId="24" xfId="0" applyBorder="1" applyProtection="1">
      <protection locked="0"/>
    </xf>
    <xf numFmtId="0" fontId="0" fillId="0" borderId="24" xfId="0" applyBorder="1" applyAlignment="1" applyProtection="1">
      <alignment horizontal="right"/>
      <protection locked="0"/>
    </xf>
    <xf numFmtId="0" fontId="0" fillId="0" borderId="6" xfId="0" applyBorder="1" applyProtection="1">
      <protection locked="0"/>
    </xf>
    <xf numFmtId="0" fontId="0" fillId="0" borderId="7" xfId="0" applyBorder="1" applyProtection="1">
      <protection locked="0"/>
    </xf>
    <xf numFmtId="0" fontId="0" fillId="0" borderId="7" xfId="0" applyBorder="1" applyAlignment="1" applyProtection="1">
      <alignment horizontal="right"/>
      <protection locked="0"/>
    </xf>
    <xf numFmtId="0" fontId="6" fillId="0" borderId="0" xfId="3" applyProtection="1">
      <protection locked="0"/>
    </xf>
    <xf numFmtId="0" fontId="20" fillId="0" borderId="0" xfId="0" applyFont="1" applyAlignment="1" applyProtection="1">
      <alignment horizontal="center" vertical="center" wrapText="1"/>
      <protection locked="0"/>
    </xf>
    <xf numFmtId="0" fontId="21" fillId="2" borderId="4" xfId="0" applyFont="1" applyFill="1" applyBorder="1" applyAlignment="1" applyProtection="1">
      <alignment horizontal="center" vertical="center" wrapText="1"/>
      <protection locked="0"/>
    </xf>
    <xf numFmtId="0" fontId="21" fillId="2" borderId="21" xfId="0" applyFont="1" applyFill="1" applyBorder="1" applyAlignment="1" applyProtection="1">
      <alignment horizontal="center" vertical="center" wrapText="1"/>
      <protection locked="0"/>
    </xf>
    <xf numFmtId="0" fontId="21" fillId="2" borderId="2" xfId="0" applyFont="1" applyFill="1" applyBorder="1" applyAlignment="1" applyProtection="1">
      <alignment horizontal="center" vertical="center" wrapText="1"/>
      <protection locked="0"/>
    </xf>
    <xf numFmtId="0" fontId="21" fillId="6" borderId="4" xfId="0" applyFont="1" applyFill="1" applyBorder="1" applyAlignment="1" applyProtection="1">
      <alignment horizontal="center" vertical="center" wrapText="1"/>
      <protection locked="0"/>
    </xf>
    <xf numFmtId="0" fontId="21" fillId="6" borderId="21" xfId="0" applyFont="1" applyFill="1" applyBorder="1" applyAlignment="1" applyProtection="1">
      <alignment horizontal="center" vertical="center" wrapText="1"/>
      <protection locked="0"/>
    </xf>
    <xf numFmtId="0" fontId="21" fillId="6" borderId="2" xfId="0" applyFont="1" applyFill="1" applyBorder="1" applyAlignment="1" applyProtection="1">
      <alignment horizontal="center" vertical="center" wrapText="1"/>
      <protection locked="0"/>
    </xf>
    <xf numFmtId="0" fontId="22" fillId="4" borderId="23" xfId="0" applyFont="1" applyFill="1" applyBorder="1" applyAlignment="1">
      <alignment horizontal="center" vertical="center"/>
    </xf>
    <xf numFmtId="167" fontId="22" fillId="4" borderId="0" xfId="1" applyNumberFormat="1" applyFont="1" applyFill="1" applyBorder="1" applyAlignment="1" applyProtection="1">
      <alignment horizontal="center" vertical="center"/>
    </xf>
    <xf numFmtId="0" fontId="11" fillId="0" borderId="0" xfId="0" applyFont="1" applyAlignment="1" applyProtection="1">
      <alignment horizontal="left" vertical="top" wrapText="1"/>
      <protection locked="0"/>
    </xf>
    <xf numFmtId="0" fontId="21" fillId="2" borderId="6" xfId="0" applyFont="1" applyFill="1" applyBorder="1" applyAlignment="1" applyProtection="1">
      <alignment horizontal="center" vertical="center" wrapText="1"/>
      <protection locked="0"/>
    </xf>
    <xf numFmtId="0" fontId="21" fillId="2" borderId="27" xfId="0"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vertical="center" wrapText="1"/>
      <protection locked="0"/>
    </xf>
    <xf numFmtId="0" fontId="21" fillId="6" borderId="6" xfId="0" applyFont="1" applyFill="1" applyBorder="1" applyAlignment="1" applyProtection="1">
      <alignment horizontal="center" vertical="center" wrapText="1"/>
      <protection locked="0"/>
    </xf>
    <xf numFmtId="0" fontId="21" fillId="6" borderId="27" xfId="0" applyFont="1" applyFill="1" applyBorder="1" applyAlignment="1" applyProtection="1">
      <alignment horizontal="center" vertical="center" wrapText="1"/>
      <protection locked="0"/>
    </xf>
    <xf numFmtId="0" fontId="21" fillId="6" borderId="7" xfId="0" applyFont="1" applyFill="1" applyBorder="1" applyAlignment="1" applyProtection="1">
      <alignment horizontal="center" vertical="center" wrapText="1"/>
      <protection locked="0"/>
    </xf>
    <xf numFmtId="0" fontId="12" fillId="7" borderId="0" xfId="0" applyFont="1" applyFill="1" applyAlignment="1">
      <alignment horizontal="center" vertical="center"/>
    </xf>
    <xf numFmtId="165" fontId="23" fillId="7" borderId="26" xfId="1" applyNumberFormat="1" applyFont="1" applyFill="1" applyBorder="1" applyAlignment="1" applyProtection="1">
      <alignment horizontal="center" vertical="center" wrapText="1"/>
    </xf>
    <xf numFmtId="165" fontId="23" fillId="7" borderId="26" xfId="1" applyNumberFormat="1" applyFont="1" applyFill="1" applyBorder="1" applyAlignment="1" applyProtection="1">
      <alignment horizontal="center" vertical="center"/>
    </xf>
    <xf numFmtId="0" fontId="22" fillId="4" borderId="23" xfId="0" applyFont="1" applyFill="1" applyBorder="1" applyAlignment="1">
      <alignment vertical="center"/>
    </xf>
    <xf numFmtId="167" fontId="22" fillId="4" borderId="0" xfId="1" applyNumberFormat="1" applyFont="1" applyFill="1" applyBorder="1" applyAlignment="1" applyProtection="1">
      <alignment vertical="center"/>
    </xf>
    <xf numFmtId="0" fontId="11" fillId="0" borderId="0" xfId="0" applyFont="1" applyAlignment="1" applyProtection="1">
      <alignment vertical="top" wrapText="1"/>
      <protection locked="0"/>
    </xf>
    <xf numFmtId="0" fontId="12" fillId="0" borderId="3" xfId="0" applyFont="1" applyBorder="1" applyAlignment="1" applyProtection="1">
      <alignment horizontal="center" vertical="center" wrapText="1"/>
      <protection locked="0"/>
    </xf>
    <xf numFmtId="165" fontId="23" fillId="2" borderId="3" xfId="1" applyNumberFormat="1" applyFont="1" applyFill="1" applyBorder="1" applyAlignment="1" applyProtection="1">
      <alignment horizontal="center" vertical="center" wrapText="1"/>
      <protection locked="0"/>
    </xf>
    <xf numFmtId="165" fontId="12" fillId="0" borderId="3" xfId="1" applyNumberFormat="1" applyFont="1" applyFill="1" applyBorder="1" applyAlignment="1" applyProtection="1">
      <alignment horizontal="center" vertical="center"/>
      <protection locked="0"/>
    </xf>
    <xf numFmtId="165" fontId="23" fillId="2" borderId="3" xfId="1" applyNumberFormat="1" applyFont="1" applyFill="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22" fillId="0" borderId="0" xfId="0" applyFont="1" applyAlignment="1">
      <alignment vertical="center"/>
    </xf>
    <xf numFmtId="167" fontId="22" fillId="0" borderId="0" xfId="1" applyNumberFormat="1" applyFont="1" applyFill="1" applyBorder="1" applyAlignment="1" applyProtection="1">
      <alignment vertical="center"/>
    </xf>
    <xf numFmtId="0" fontId="20" fillId="0" borderId="0" xfId="0" applyFont="1" applyAlignment="1" applyProtection="1">
      <alignment vertical="center" wrapText="1"/>
      <protection locked="0"/>
    </xf>
    <xf numFmtId="0" fontId="12" fillId="0" borderId="26" xfId="0" applyFont="1" applyBorder="1" applyAlignment="1" applyProtection="1">
      <alignment horizontal="center" vertical="center" wrapText="1"/>
      <protection locked="0"/>
    </xf>
    <xf numFmtId="0" fontId="24" fillId="0" borderId="0" xfId="0" applyFont="1" applyAlignment="1" applyProtection="1">
      <alignment horizontal="left" vertical="center"/>
      <protection locked="0"/>
    </xf>
    <xf numFmtId="167" fontId="23" fillId="0" borderId="0" xfId="1" applyNumberFormat="1" applyFont="1" applyFill="1" applyBorder="1" applyAlignment="1" applyProtection="1">
      <alignment horizontal="left" vertical="center"/>
      <protection locked="0"/>
    </xf>
    <xf numFmtId="165" fontId="4" fillId="0" borderId="0" xfId="1" applyNumberFormat="1" applyFont="1" applyFill="1" applyBorder="1" applyProtection="1">
      <protection locked="0"/>
    </xf>
    <xf numFmtId="0" fontId="0" fillId="0" borderId="0" xfId="0" applyAlignment="1" applyProtection="1">
      <alignment horizontal="center"/>
      <protection locked="0"/>
    </xf>
    <xf numFmtId="167" fontId="1" fillId="0" borderId="0" xfId="1" applyNumberFormat="1" applyFont="1" applyFill="1" applyBorder="1" applyAlignment="1" applyProtection="1">
      <alignment horizontal="center"/>
      <protection locked="0"/>
    </xf>
    <xf numFmtId="0" fontId="23" fillId="0" borderId="22" xfId="0" applyFont="1" applyBorder="1" applyAlignment="1" applyProtection="1">
      <alignment horizontal="left" vertical="center"/>
      <protection locked="0"/>
    </xf>
    <xf numFmtId="0" fontId="4" fillId="0" borderId="20" xfId="0" applyFont="1" applyBorder="1" applyAlignment="1" applyProtection="1">
      <alignment horizontal="center"/>
      <protection locked="0"/>
    </xf>
    <xf numFmtId="0" fontId="4" fillId="0" borderId="5" xfId="0" applyFont="1" applyBorder="1" applyAlignment="1" applyProtection="1">
      <alignment horizontal="center"/>
      <protection locked="0"/>
    </xf>
    <xf numFmtId="0" fontId="4" fillId="0" borderId="22" xfId="0" applyFont="1" applyBorder="1" applyAlignment="1" applyProtection="1">
      <alignment vertical="center"/>
      <protection locked="0"/>
    </xf>
    <xf numFmtId="0" fontId="0" fillId="0" borderId="0" xfId="0" applyAlignment="1" applyProtection="1">
      <alignment wrapText="1"/>
      <protection locked="0"/>
    </xf>
    <xf numFmtId="0" fontId="4" fillId="0" borderId="0" xfId="0" applyFont="1" applyAlignment="1" applyProtection="1">
      <alignment vertical="center" wrapText="1"/>
      <protection locked="0"/>
    </xf>
    <xf numFmtId="0" fontId="23" fillId="0" borderId="26" xfId="0" applyFont="1" applyBorder="1" applyAlignment="1" applyProtection="1">
      <alignment horizontal="left" vertical="center"/>
      <protection locked="0"/>
    </xf>
    <xf numFmtId="0" fontId="4" fillId="0" borderId="27" xfId="0" applyFont="1" applyBorder="1" applyAlignment="1" applyProtection="1">
      <alignment horizontal="center"/>
      <protection locked="0"/>
    </xf>
    <xf numFmtId="9" fontId="4" fillId="0" borderId="27" xfId="0" applyNumberFormat="1" applyFont="1" applyBorder="1" applyAlignment="1" applyProtection="1">
      <alignment horizontal="center"/>
      <protection locked="0"/>
    </xf>
    <xf numFmtId="0" fontId="4" fillId="0" borderId="7" xfId="0" applyFont="1" applyBorder="1" applyAlignment="1" applyProtection="1">
      <alignment horizontal="center"/>
      <protection locked="0"/>
    </xf>
    <xf numFmtId="0" fontId="4" fillId="0" borderId="26" xfId="0" applyFont="1" applyBorder="1" applyAlignment="1" applyProtection="1">
      <alignment horizontal="center" vertical="center"/>
      <protection locked="0"/>
    </xf>
    <xf numFmtId="165" fontId="0" fillId="0" borderId="0" xfId="0" applyNumberFormat="1" applyProtection="1">
      <protection locked="0"/>
    </xf>
    <xf numFmtId="0" fontId="4" fillId="0" borderId="25" xfId="0" applyFont="1" applyBorder="1" applyProtection="1">
      <protection locked="0"/>
    </xf>
    <xf numFmtId="165" fontId="4" fillId="2" borderId="4" xfId="1" applyNumberFormat="1" applyFont="1" applyFill="1" applyBorder="1" applyAlignment="1" applyProtection="1">
      <alignment horizontal="center"/>
      <protection locked="0"/>
    </xf>
    <xf numFmtId="165" fontId="4" fillId="2" borderId="21" xfId="1" applyNumberFormat="1" applyFont="1" applyFill="1" applyBorder="1" applyAlignment="1" applyProtection="1">
      <alignment horizontal="center"/>
      <protection locked="0"/>
    </xf>
    <xf numFmtId="0" fontId="0" fillId="4" borderId="25" xfId="0" applyFill="1" applyBorder="1"/>
    <xf numFmtId="9" fontId="4" fillId="2" borderId="25" xfId="2" applyFont="1" applyFill="1" applyBorder="1" applyAlignment="1" applyProtection="1">
      <alignment horizontal="center"/>
      <protection locked="0"/>
    </xf>
    <xf numFmtId="9" fontId="4" fillId="4" borderId="25" xfId="2" applyFont="1" applyFill="1" applyBorder="1" applyAlignment="1" applyProtection="1">
      <alignment horizontal="center"/>
    </xf>
    <xf numFmtId="165" fontId="4" fillId="2" borderId="23" xfId="1" applyNumberFormat="1" applyFont="1" applyFill="1" applyBorder="1" applyAlignment="1" applyProtection="1">
      <alignment horizontal="center"/>
      <protection locked="0"/>
    </xf>
    <xf numFmtId="165" fontId="4" fillId="2" borderId="0" xfId="1" applyNumberFormat="1" applyFont="1" applyFill="1" applyBorder="1" applyAlignment="1" applyProtection="1">
      <alignment horizontal="center"/>
      <protection locked="0"/>
    </xf>
    <xf numFmtId="9" fontId="4" fillId="7" borderId="25" xfId="2" applyFont="1" applyFill="1" applyBorder="1" applyAlignment="1" applyProtection="1">
      <alignment horizontal="center"/>
    </xf>
    <xf numFmtId="0" fontId="4" fillId="0" borderId="26" xfId="0" applyFont="1" applyBorder="1" applyProtection="1">
      <protection locked="0"/>
    </xf>
    <xf numFmtId="165" fontId="4" fillId="2" borderId="6" xfId="1" applyNumberFormat="1" applyFont="1" applyFill="1" applyBorder="1" applyAlignment="1" applyProtection="1">
      <alignment horizontal="center"/>
      <protection locked="0"/>
    </xf>
    <xf numFmtId="165" fontId="4" fillId="2" borderId="27" xfId="1" applyNumberFormat="1" applyFont="1" applyFill="1" applyBorder="1" applyAlignment="1" applyProtection="1">
      <alignment horizontal="center"/>
      <protection locked="0"/>
    </xf>
    <xf numFmtId="9" fontId="4" fillId="4" borderId="26" xfId="2" applyFont="1" applyFill="1" applyBorder="1" applyAlignment="1" applyProtection="1">
      <alignment horizontal="center"/>
    </xf>
    <xf numFmtId="9" fontId="4" fillId="2" borderId="26" xfId="2" applyFont="1" applyFill="1" applyBorder="1" applyAlignment="1" applyProtection="1">
      <alignment horizontal="center"/>
      <protection locked="0"/>
    </xf>
    <xf numFmtId="9" fontId="0" fillId="0" borderId="0" xfId="0" applyNumberFormat="1" applyProtection="1">
      <protection locked="0"/>
    </xf>
    <xf numFmtId="0" fontId="25" fillId="8" borderId="0" xfId="0" applyFont="1" applyFill="1" applyAlignment="1" applyProtection="1">
      <alignment horizontal="center" vertical="center"/>
      <protection locked="0"/>
    </xf>
    <xf numFmtId="0" fontId="26" fillId="2" borderId="0" xfId="0" applyFont="1" applyFill="1" applyAlignment="1" applyProtection="1">
      <alignment horizontal="left" vertical="center"/>
      <protection locked="0"/>
    </xf>
    <xf numFmtId="0" fontId="0" fillId="0" borderId="0" xfId="0" applyAlignment="1" applyProtection="1">
      <alignment horizontal="center"/>
      <protection locked="0"/>
    </xf>
    <xf numFmtId="0" fontId="0" fillId="9" borderId="0" xfId="0" applyFill="1" applyProtection="1">
      <protection locked="0"/>
    </xf>
    <xf numFmtId="0" fontId="27" fillId="0" borderId="28" xfId="0" applyFont="1" applyBorder="1" applyProtection="1">
      <protection locked="0"/>
    </xf>
    <xf numFmtId="168" fontId="28" fillId="10" borderId="28" xfId="0" applyNumberFormat="1" applyFont="1" applyFill="1" applyBorder="1" applyAlignment="1" applyProtection="1">
      <alignment horizontal="center" vertical="center"/>
      <protection locked="0"/>
    </xf>
    <xf numFmtId="0" fontId="2" fillId="4" borderId="28" xfId="0" applyFont="1" applyFill="1" applyBorder="1" applyProtection="1">
      <protection locked="0"/>
    </xf>
    <xf numFmtId="165" fontId="2" fillId="4" borderId="28" xfId="1" applyNumberFormat="1" applyFont="1" applyFill="1" applyBorder="1" applyProtection="1"/>
    <xf numFmtId="0" fontId="0" fillId="0" borderId="28" xfId="0" applyBorder="1" applyProtection="1">
      <protection locked="0"/>
    </xf>
    <xf numFmtId="165" fontId="5" fillId="4" borderId="28" xfId="1" applyNumberFormat="1" applyFont="1" applyFill="1" applyBorder="1" applyProtection="1"/>
    <xf numFmtId="0" fontId="29" fillId="2" borderId="29" xfId="0" applyFont="1" applyFill="1" applyBorder="1" applyAlignment="1" applyProtection="1">
      <alignment horizontal="center" vertical="center" wrapText="1"/>
      <protection locked="0"/>
    </xf>
    <xf numFmtId="0" fontId="29" fillId="2" borderId="30" xfId="0" applyFont="1" applyFill="1" applyBorder="1" applyAlignment="1" applyProtection="1">
      <alignment horizontal="center" vertical="center" wrapText="1"/>
      <protection locked="0"/>
    </xf>
    <xf numFmtId="0" fontId="29" fillId="6" borderId="22" xfId="0" applyFont="1" applyFill="1" applyBorder="1" applyAlignment="1" applyProtection="1">
      <alignment horizontal="center" vertical="center" wrapText="1"/>
      <protection locked="0"/>
    </xf>
    <xf numFmtId="165" fontId="2" fillId="4" borderId="28" xfId="0" applyNumberFormat="1" applyFont="1" applyFill="1" applyBorder="1" applyProtection="1">
      <protection locked="0"/>
    </xf>
    <xf numFmtId="165" fontId="2" fillId="4" borderId="28" xfId="0" applyNumberFormat="1" applyFont="1" applyFill="1" applyBorder="1"/>
    <xf numFmtId="9" fontId="2" fillId="4" borderId="31" xfId="2" applyFont="1" applyFill="1" applyBorder="1" applyProtection="1">
      <protection locked="0"/>
    </xf>
    <xf numFmtId="0" fontId="29" fillId="2" borderId="32" xfId="0" applyFont="1" applyFill="1" applyBorder="1" applyAlignment="1" applyProtection="1">
      <alignment horizontal="center" vertical="center" wrapText="1"/>
      <protection locked="0"/>
    </xf>
    <xf numFmtId="0" fontId="29" fillId="2" borderId="33" xfId="0" applyFont="1" applyFill="1" applyBorder="1" applyAlignment="1" applyProtection="1">
      <alignment horizontal="center" vertical="center" wrapText="1"/>
      <protection locked="0"/>
    </xf>
    <xf numFmtId="0" fontId="29" fillId="6" borderId="25" xfId="0" applyFont="1" applyFill="1" applyBorder="1" applyAlignment="1" applyProtection="1">
      <alignment horizontal="center" vertical="center" wrapText="1"/>
      <protection locked="0"/>
    </xf>
    <xf numFmtId="0" fontId="29" fillId="6" borderId="26" xfId="0" applyFont="1" applyFill="1" applyBorder="1" applyAlignment="1" applyProtection="1">
      <alignment horizontal="center" vertical="center" wrapText="1"/>
      <protection locked="0"/>
    </xf>
    <xf numFmtId="165" fontId="0" fillId="2" borderId="28" xfId="0" applyNumberFormat="1" applyFill="1" applyBorder="1" applyProtection="1">
      <protection locked="0"/>
    </xf>
    <xf numFmtId="165" fontId="0" fillId="11" borderId="28" xfId="0" applyNumberFormat="1" applyFill="1" applyBorder="1"/>
    <xf numFmtId="0" fontId="0" fillId="2" borderId="34" xfId="0" applyFill="1" applyBorder="1" applyAlignment="1" applyProtection="1">
      <alignment wrapText="1"/>
      <protection locked="0"/>
    </xf>
    <xf numFmtId="0" fontId="0" fillId="6" borderId="35" xfId="0" applyFill="1" applyBorder="1" applyAlignment="1" applyProtection="1">
      <alignment wrapText="1"/>
      <protection locked="0"/>
    </xf>
    <xf numFmtId="0" fontId="0" fillId="6" borderId="36" xfId="0" applyFill="1" applyBorder="1" applyAlignment="1" applyProtection="1">
      <alignment wrapText="1"/>
      <protection locked="0"/>
    </xf>
    <xf numFmtId="0" fontId="0" fillId="2" borderId="37" xfId="0" applyFill="1" applyBorder="1" applyAlignment="1" applyProtection="1">
      <alignment wrapText="1"/>
      <protection locked="0"/>
    </xf>
    <xf numFmtId="0" fontId="0" fillId="6" borderId="17" xfId="0" applyFill="1" applyBorder="1" applyAlignment="1" applyProtection="1">
      <alignment wrapText="1"/>
      <protection locked="0"/>
    </xf>
    <xf numFmtId="0" fontId="0" fillId="6" borderId="38" xfId="0" applyFill="1" applyBorder="1" applyAlignment="1" applyProtection="1">
      <alignment wrapText="1"/>
      <protection locked="0"/>
    </xf>
    <xf numFmtId="43" fontId="0" fillId="0" borderId="0" xfId="0" applyNumberFormat="1" applyProtection="1">
      <protection locked="0"/>
    </xf>
    <xf numFmtId="0" fontId="29" fillId="2" borderId="39" xfId="0" applyFont="1" applyFill="1" applyBorder="1" applyAlignment="1" applyProtection="1">
      <alignment horizontal="center" vertical="center" wrapText="1"/>
      <protection locked="0"/>
    </xf>
    <xf numFmtId="0" fontId="29" fillId="2" borderId="40" xfId="0" applyFont="1" applyFill="1" applyBorder="1" applyAlignment="1" applyProtection="1">
      <alignment horizontal="center" vertical="center" wrapText="1"/>
      <protection locked="0"/>
    </xf>
    <xf numFmtId="0" fontId="0" fillId="2" borderId="29" xfId="0" applyFill="1" applyBorder="1" applyAlignment="1" applyProtection="1">
      <alignment wrapText="1"/>
      <protection locked="0"/>
    </xf>
    <xf numFmtId="0" fontId="0" fillId="6" borderId="30" xfId="0" applyFill="1" applyBorder="1" applyAlignment="1" applyProtection="1">
      <alignment wrapText="1"/>
      <protection locked="0"/>
    </xf>
    <xf numFmtId="0" fontId="0" fillId="6" borderId="41" xfId="0" applyFill="1" applyBorder="1" applyAlignment="1" applyProtection="1">
      <alignment wrapText="1"/>
      <protection locked="0"/>
    </xf>
    <xf numFmtId="0" fontId="0" fillId="2" borderId="32" xfId="0" applyFill="1" applyBorder="1" applyAlignment="1" applyProtection="1">
      <alignment wrapText="1"/>
      <protection locked="0"/>
    </xf>
    <xf numFmtId="0" fontId="0" fillId="6" borderId="33" xfId="0" applyFill="1" applyBorder="1" applyAlignment="1" applyProtection="1">
      <alignment wrapText="1"/>
      <protection locked="0"/>
    </xf>
    <xf numFmtId="0" fontId="0" fillId="6" borderId="42" xfId="0" applyFill="1" applyBorder="1" applyAlignment="1" applyProtection="1">
      <alignment wrapText="1"/>
      <protection locked="0"/>
    </xf>
    <xf numFmtId="0" fontId="0" fillId="6" borderId="43" xfId="0" applyFill="1" applyBorder="1" applyAlignment="1" applyProtection="1">
      <alignment wrapText="1"/>
      <protection locked="0"/>
    </xf>
    <xf numFmtId="0" fontId="0" fillId="6" borderId="29" xfId="0" applyFill="1" applyBorder="1" applyAlignment="1" applyProtection="1">
      <alignment wrapText="1"/>
      <protection locked="0"/>
    </xf>
    <xf numFmtId="0" fontId="0" fillId="6" borderId="37" xfId="0" applyFill="1" applyBorder="1" applyAlignment="1" applyProtection="1">
      <alignment wrapText="1"/>
      <protection locked="0"/>
    </xf>
    <xf numFmtId="0" fontId="0" fillId="6" borderId="13" xfId="0" applyFill="1" applyBorder="1" applyAlignment="1" applyProtection="1">
      <alignment wrapText="1"/>
      <protection locked="0"/>
    </xf>
    <xf numFmtId="0" fontId="0" fillId="6" borderId="32" xfId="0" applyFill="1" applyBorder="1" applyAlignment="1" applyProtection="1">
      <alignment wrapText="1"/>
      <protection locked="0"/>
    </xf>
    <xf numFmtId="165" fontId="2" fillId="0" borderId="28" xfId="1" applyNumberFormat="1" applyFont="1" applyFill="1" applyBorder="1" applyProtection="1">
      <protection locked="0"/>
    </xf>
    <xf numFmtId="164" fontId="0" fillId="0" borderId="0" xfId="0" applyNumberFormat="1" applyProtection="1">
      <protection locked="0"/>
    </xf>
    <xf numFmtId="0" fontId="15" fillId="12" borderId="0" xfId="4" applyFont="1" applyFill="1" applyAlignment="1" applyProtection="1">
      <alignment horizontal="right"/>
      <protection locked="0"/>
    </xf>
    <xf numFmtId="17" fontId="14" fillId="12" borderId="0" xfId="4" applyNumberFormat="1" applyFont="1" applyFill="1" applyProtection="1">
      <protection locked="0"/>
    </xf>
    <xf numFmtId="17" fontId="14" fillId="3" borderId="0" xfId="4" applyNumberFormat="1" applyFont="1" applyFill="1" applyProtection="1">
      <protection locked="0"/>
    </xf>
    <xf numFmtId="0" fontId="0" fillId="0" borderId="0" xfId="0" applyAlignment="1" applyProtection="1">
      <alignment horizontal="right"/>
      <protection locked="0"/>
    </xf>
    <xf numFmtId="0" fontId="23" fillId="2" borderId="0" xfId="0" applyFont="1" applyFill="1" applyAlignment="1" applyProtection="1">
      <alignment horizontal="left" vertical="top" wrapText="1"/>
      <protection locked="0"/>
    </xf>
    <xf numFmtId="9" fontId="20" fillId="2" borderId="44" xfId="2" applyFont="1" applyFill="1" applyBorder="1" applyAlignment="1" applyProtection="1">
      <alignment horizontal="center" vertical="center"/>
      <protection locked="0"/>
    </xf>
    <xf numFmtId="0" fontId="15" fillId="2" borderId="45" xfId="0" applyFont="1" applyFill="1" applyBorder="1" applyAlignment="1">
      <alignment horizontal="center" vertical="top" wrapText="1"/>
    </xf>
    <xf numFmtId="0" fontId="15" fillId="2" borderId="0" xfId="0" applyFont="1" applyFill="1" applyAlignment="1">
      <alignment horizontal="center" vertical="top" wrapText="1"/>
    </xf>
    <xf numFmtId="0" fontId="12" fillId="13" borderId="1" xfId="0" applyFont="1" applyFill="1" applyBorder="1" applyAlignment="1">
      <alignment horizontal="center" vertical="center" wrapText="1"/>
    </xf>
    <xf numFmtId="169" fontId="31" fillId="13" borderId="20" xfId="0" applyNumberFormat="1" applyFont="1" applyFill="1" applyBorder="1" applyAlignment="1">
      <alignment horizontal="center" vertical="center" wrapText="1" readingOrder="1"/>
    </xf>
    <xf numFmtId="170" fontId="31" fillId="13" borderId="5" xfId="0" applyNumberFormat="1" applyFont="1" applyFill="1" applyBorder="1" applyAlignment="1">
      <alignment horizontal="center" vertical="center" wrapText="1" readingOrder="1"/>
    </xf>
    <xf numFmtId="0" fontId="12" fillId="14" borderId="1" xfId="0" applyFont="1" applyFill="1" applyBorder="1" applyAlignment="1">
      <alignment horizontal="center" vertical="center" wrapText="1"/>
    </xf>
    <xf numFmtId="169" fontId="31" fillId="14" borderId="20" xfId="0" applyNumberFormat="1" applyFont="1" applyFill="1" applyBorder="1" applyAlignment="1">
      <alignment horizontal="center" vertical="center" wrapText="1" readingOrder="1"/>
    </xf>
    <xf numFmtId="170" fontId="31" fillId="14" borderId="5" xfId="0" applyNumberFormat="1" applyFont="1" applyFill="1" applyBorder="1" applyAlignment="1">
      <alignment horizontal="center" vertical="center" wrapText="1" readingOrder="1"/>
    </xf>
    <xf numFmtId="0" fontId="4" fillId="0" borderId="0" xfId="0" applyFont="1" applyAlignment="1">
      <alignment vertical="center"/>
    </xf>
    <xf numFmtId="9" fontId="0" fillId="0" borderId="0" xfId="2" applyFont="1" applyProtection="1"/>
    <xf numFmtId="0" fontId="17" fillId="3" borderId="0" xfId="0" applyFont="1" applyFill="1" applyAlignment="1" applyProtection="1">
      <alignment horizontal="right"/>
      <protection locked="0"/>
    </xf>
    <xf numFmtId="0" fontId="0" fillId="0" borderId="0" xfId="0" applyAlignment="1" applyProtection="1">
      <alignment horizontal="right" vertical="center"/>
      <protection locked="0"/>
    </xf>
    <xf numFmtId="0" fontId="28" fillId="0" borderId="0" xfId="0" applyFont="1" applyAlignment="1" applyProtection="1">
      <alignment vertical="center"/>
      <protection locked="0"/>
    </xf>
    <xf numFmtId="0" fontId="28" fillId="10" borderId="0" xfId="0" applyFont="1" applyFill="1" applyAlignment="1" applyProtection="1">
      <alignment vertical="center"/>
      <protection locked="0"/>
    </xf>
    <xf numFmtId="168" fontId="28" fillId="10" borderId="0" xfId="0" applyNumberFormat="1" applyFont="1" applyFill="1" applyAlignment="1" applyProtection="1">
      <alignment horizontal="center" vertical="center"/>
      <protection locked="0"/>
    </xf>
    <xf numFmtId="0" fontId="28" fillId="10" borderId="0" xfId="0" applyFont="1" applyFill="1" applyAlignment="1" applyProtection="1">
      <alignment horizontal="right" vertical="center"/>
      <protection locked="0"/>
    </xf>
    <xf numFmtId="0" fontId="28" fillId="0" borderId="0" xfId="0" applyFont="1" applyAlignment="1" applyProtection="1">
      <alignment horizontal="center" vertical="center"/>
      <protection locked="0"/>
    </xf>
    <xf numFmtId="0" fontId="32" fillId="15" borderId="0" xfId="0" applyFont="1" applyFill="1" applyAlignment="1">
      <alignment vertical="center"/>
    </xf>
    <xf numFmtId="165" fontId="33" fillId="0" borderId="0" xfId="1" applyNumberFormat="1" applyFont="1" applyBorder="1" applyProtection="1"/>
    <xf numFmtId="0" fontId="33" fillId="0" borderId="10" xfId="0" applyFont="1" applyBorder="1" applyAlignment="1" applyProtection="1">
      <alignment wrapText="1"/>
      <protection locked="0"/>
    </xf>
    <xf numFmtId="0" fontId="32" fillId="15" borderId="10" xfId="0" applyFont="1" applyFill="1" applyBorder="1" applyAlignment="1">
      <alignment vertical="center"/>
    </xf>
    <xf numFmtId="165" fontId="33" fillId="0" borderId="10" xfId="1" applyNumberFormat="1" applyFont="1" applyBorder="1" applyProtection="1"/>
    <xf numFmtId="0" fontId="33" fillId="0" borderId="0" xfId="0" applyFont="1" applyAlignment="1" applyProtection="1">
      <alignment wrapText="1"/>
      <protection locked="0"/>
    </xf>
    <xf numFmtId="0" fontId="32" fillId="15" borderId="0" xfId="0" applyFont="1" applyFill="1" applyAlignment="1" applyProtection="1">
      <alignment vertical="center"/>
      <protection locked="0"/>
    </xf>
    <xf numFmtId="165" fontId="33" fillId="0" borderId="0" xfId="1" applyNumberFormat="1" applyFont="1" applyProtection="1">
      <protection locked="0"/>
    </xf>
    <xf numFmtId="0" fontId="32" fillId="16" borderId="22" xfId="0" applyFont="1" applyFill="1" applyBorder="1" applyAlignment="1" applyProtection="1">
      <alignment horizontal="left" vertical="center" wrapText="1"/>
      <protection locked="0"/>
    </xf>
    <xf numFmtId="0" fontId="32" fillId="16" borderId="4" xfId="0" applyFont="1" applyFill="1" applyBorder="1" applyAlignment="1" applyProtection="1">
      <alignment vertical="center"/>
      <protection locked="0"/>
    </xf>
    <xf numFmtId="165" fontId="33" fillId="16" borderId="21" xfId="1" applyNumberFormat="1" applyFont="1" applyFill="1" applyBorder="1" applyProtection="1"/>
    <xf numFmtId="165" fontId="33" fillId="16" borderId="2" xfId="1" applyNumberFormat="1" applyFont="1" applyFill="1" applyBorder="1" applyProtection="1"/>
    <xf numFmtId="0" fontId="32" fillId="16" borderId="25" xfId="0" applyFont="1" applyFill="1" applyBorder="1" applyAlignment="1" applyProtection="1">
      <alignment horizontal="left" vertical="center" wrapText="1"/>
      <protection locked="0"/>
    </xf>
    <xf numFmtId="0" fontId="32" fillId="16" borderId="23" xfId="0" applyFont="1" applyFill="1" applyBorder="1" applyAlignment="1" applyProtection="1">
      <alignment vertical="center"/>
      <protection locked="0"/>
    </xf>
    <xf numFmtId="165" fontId="33" fillId="16" borderId="0" xfId="1" applyNumberFormat="1" applyFont="1" applyFill="1" applyBorder="1" applyProtection="1"/>
    <xf numFmtId="165" fontId="33" fillId="16" borderId="24" xfId="1" applyNumberFormat="1" applyFont="1" applyFill="1" applyBorder="1" applyProtection="1"/>
    <xf numFmtId="0" fontId="34" fillId="17" borderId="31" xfId="0" applyFont="1" applyFill="1" applyBorder="1" applyAlignment="1" applyProtection="1">
      <alignment horizontal="center"/>
      <protection locked="0"/>
    </xf>
    <xf numFmtId="0" fontId="0" fillId="0" borderId="46" xfId="0" applyBorder="1" applyProtection="1">
      <protection locked="0"/>
    </xf>
    <xf numFmtId="165" fontId="14" fillId="0" borderId="47" xfId="1" applyNumberFormat="1" applyFont="1" applyFill="1" applyBorder="1" applyAlignment="1" applyProtection="1">
      <alignment horizontal="right"/>
      <protection locked="0"/>
    </xf>
    <xf numFmtId="0" fontId="0" fillId="0" borderId="48" xfId="0" applyBorder="1" applyProtection="1">
      <protection locked="0"/>
    </xf>
    <xf numFmtId="165" fontId="0" fillId="0" borderId="49" xfId="1" applyNumberFormat="1" applyFont="1" applyBorder="1" applyAlignment="1" applyProtection="1">
      <alignment horizontal="right"/>
      <protection locked="0"/>
    </xf>
    <xf numFmtId="0" fontId="32" fillId="16" borderId="26" xfId="0" applyFont="1" applyFill="1" applyBorder="1" applyAlignment="1" applyProtection="1">
      <alignment horizontal="left" vertical="center" wrapText="1"/>
      <protection locked="0"/>
    </xf>
    <xf numFmtId="0" fontId="32" fillId="16" borderId="6" xfId="0" applyFont="1" applyFill="1" applyBorder="1" applyAlignment="1" applyProtection="1">
      <alignment vertical="center"/>
      <protection locked="0"/>
    </xf>
    <xf numFmtId="165" fontId="33" fillId="16" borderId="27" xfId="1" applyNumberFormat="1" applyFont="1" applyFill="1" applyBorder="1" applyProtection="1"/>
    <xf numFmtId="165" fontId="33" fillId="16" borderId="7" xfId="1" applyNumberFormat="1" applyFont="1" applyFill="1" applyBorder="1" applyProtection="1"/>
    <xf numFmtId="0" fontId="0" fillId="0" borderId="50" xfId="0" applyBorder="1" applyProtection="1">
      <protection locked="0"/>
    </xf>
    <xf numFmtId="165" fontId="0" fillId="0" borderId="51" xfId="1" applyNumberFormat="1" applyFont="1" applyBorder="1" applyAlignment="1" applyProtection="1">
      <alignment horizontal="right"/>
      <protection locked="0"/>
    </xf>
    <xf numFmtId="0" fontId="33" fillId="0" borderId="0" xfId="0" applyFont="1" applyProtection="1">
      <protection locked="0"/>
    </xf>
    <xf numFmtId="9" fontId="0" fillId="0" borderId="0" xfId="2" applyFont="1" applyBorder="1" applyAlignment="1" applyProtection="1">
      <alignment horizontal="right"/>
      <protection locked="0"/>
    </xf>
    <xf numFmtId="0" fontId="32" fillId="16" borderId="22" xfId="0" applyFont="1" applyFill="1" applyBorder="1" applyAlignment="1" applyProtection="1">
      <alignment horizontal="center" vertical="center" wrapText="1"/>
      <protection locked="0"/>
    </xf>
    <xf numFmtId="0" fontId="32" fillId="16" borderId="21" xfId="0" applyFont="1" applyFill="1" applyBorder="1" applyProtection="1">
      <protection locked="0"/>
    </xf>
    <xf numFmtId="165" fontId="32" fillId="16" borderId="21" xfId="1" applyNumberFormat="1" applyFont="1" applyFill="1" applyBorder="1" applyProtection="1"/>
    <xf numFmtId="165" fontId="32" fillId="16" borderId="2" xfId="1" applyNumberFormat="1" applyFont="1" applyFill="1" applyBorder="1" applyProtection="1"/>
    <xf numFmtId="165" fontId="33" fillId="0" borderId="0" xfId="1" applyNumberFormat="1" applyFont="1" applyFill="1" applyBorder="1" applyProtection="1">
      <protection locked="0"/>
    </xf>
    <xf numFmtId="0" fontId="32" fillId="16" borderId="25" xfId="0" applyFont="1" applyFill="1" applyBorder="1" applyAlignment="1" applyProtection="1">
      <alignment horizontal="center" vertical="center" wrapText="1"/>
      <protection locked="0"/>
    </xf>
    <xf numFmtId="0" fontId="35" fillId="16" borderId="0" xfId="0" applyFont="1" applyFill="1" applyProtection="1">
      <protection locked="0"/>
    </xf>
    <xf numFmtId="165" fontId="35" fillId="16" borderId="0" xfId="1" applyNumberFormat="1" applyFont="1" applyFill="1" applyBorder="1" applyProtection="1"/>
    <xf numFmtId="165" fontId="35" fillId="16" borderId="24" xfId="1" applyNumberFormat="1" applyFont="1" applyFill="1" applyBorder="1" applyProtection="1"/>
    <xf numFmtId="165" fontId="0" fillId="0" borderId="0" xfId="1" applyNumberFormat="1" applyFont="1" applyBorder="1" applyAlignment="1" applyProtection="1">
      <alignment horizontal="right"/>
      <protection locked="0"/>
    </xf>
    <xf numFmtId="0" fontId="36" fillId="16" borderId="0" xfId="0" applyFont="1" applyFill="1" applyProtection="1">
      <protection locked="0"/>
    </xf>
    <xf numFmtId="165" fontId="36" fillId="16" borderId="0" xfId="1" applyNumberFormat="1" applyFont="1" applyFill="1" applyBorder="1" applyProtection="1"/>
    <xf numFmtId="165" fontId="36" fillId="16" borderId="24" xfId="1" applyNumberFormat="1" applyFont="1" applyFill="1" applyBorder="1" applyProtection="1"/>
    <xf numFmtId="171" fontId="0" fillId="0" borderId="0" xfId="2" applyNumberFormat="1" applyFont="1" applyBorder="1" applyAlignment="1" applyProtection="1">
      <alignment horizontal="right"/>
      <protection locked="0"/>
    </xf>
    <xf numFmtId="10" fontId="0" fillId="0" borderId="0" xfId="2" applyNumberFormat="1" applyFont="1" applyBorder="1" applyAlignment="1" applyProtection="1">
      <alignment horizontal="right"/>
      <protection locked="0"/>
    </xf>
    <xf numFmtId="165" fontId="0" fillId="0" borderId="0" xfId="2" applyNumberFormat="1" applyFont="1" applyBorder="1" applyAlignment="1" applyProtection="1">
      <alignment horizontal="right"/>
      <protection locked="0"/>
    </xf>
    <xf numFmtId="0" fontId="32" fillId="16" borderId="26" xfId="0" applyFont="1" applyFill="1" applyBorder="1" applyAlignment="1" applyProtection="1">
      <alignment horizontal="center" vertical="center" wrapText="1"/>
      <protection locked="0"/>
    </xf>
    <xf numFmtId="0" fontId="36" fillId="16" borderId="27" xfId="0" applyFont="1" applyFill="1" applyBorder="1" applyProtection="1">
      <protection locked="0"/>
    </xf>
    <xf numFmtId="165" fontId="36" fillId="16" borderId="27" xfId="1" applyNumberFormat="1" applyFont="1" applyFill="1" applyBorder="1" applyProtection="1"/>
    <xf numFmtId="165" fontId="36" fillId="16" borderId="7" xfId="1" applyNumberFormat="1" applyFont="1" applyFill="1" applyBorder="1" applyProtection="1"/>
    <xf numFmtId="0" fontId="0" fillId="18" borderId="0" xfId="0" applyFill="1" applyProtection="1">
      <protection locked="0"/>
    </xf>
    <xf numFmtId="165" fontId="14" fillId="3" borderId="0" xfId="1" applyNumberFormat="1" applyFont="1" applyFill="1" applyBorder="1" applyAlignment="1" applyProtection="1">
      <alignment horizontal="right"/>
      <protection locked="0"/>
    </xf>
    <xf numFmtId="0" fontId="37" fillId="0" borderId="22" xfId="0" applyFont="1" applyBorder="1" applyAlignment="1" applyProtection="1">
      <alignment horizontal="center" vertical="center" wrapText="1"/>
      <protection locked="0"/>
    </xf>
    <xf numFmtId="0" fontId="37" fillId="0" borderId="21" xfId="0" applyFont="1" applyBorder="1" applyProtection="1">
      <protection locked="0"/>
    </xf>
    <xf numFmtId="165" fontId="37" fillId="0" borderId="21" xfId="1" applyNumberFormat="1" applyFont="1" applyBorder="1" applyProtection="1"/>
    <xf numFmtId="165" fontId="37" fillId="0" borderId="2" xfId="1" applyNumberFormat="1" applyFont="1" applyBorder="1" applyAlignment="1" applyProtection="1">
      <alignment horizontal="center"/>
    </xf>
    <xf numFmtId="9" fontId="33" fillId="0" borderId="0" xfId="2" applyFont="1" applyFill="1" applyBorder="1" applyProtection="1">
      <protection locked="0"/>
    </xf>
    <xf numFmtId="9" fontId="0" fillId="0" borderId="0" xfId="2" applyFont="1" applyProtection="1">
      <protection locked="0"/>
    </xf>
    <xf numFmtId="0" fontId="37" fillId="0" borderId="25" xfId="0" applyFont="1" applyBorder="1" applyAlignment="1" applyProtection="1">
      <alignment horizontal="center" vertical="center" wrapText="1"/>
      <protection locked="0"/>
    </xf>
    <xf numFmtId="0" fontId="38" fillId="0" borderId="0" xfId="0" applyFont="1" applyProtection="1">
      <protection locked="0"/>
    </xf>
    <xf numFmtId="165" fontId="38" fillId="2" borderId="0" xfId="1" applyNumberFormat="1" applyFont="1" applyFill="1" applyBorder="1" applyProtection="1">
      <protection locked="0"/>
    </xf>
    <xf numFmtId="165" fontId="38" fillId="4" borderId="0" xfId="1" applyNumberFormat="1" applyFont="1" applyFill="1" applyBorder="1" applyProtection="1"/>
    <xf numFmtId="165" fontId="38" fillId="0" borderId="24" xfId="1" applyNumberFormat="1" applyFont="1" applyBorder="1" applyProtection="1"/>
    <xf numFmtId="0" fontId="0" fillId="19" borderId="0" xfId="0" applyFill="1" applyProtection="1">
      <protection locked="0"/>
    </xf>
    <xf numFmtId="165" fontId="0" fillId="19" borderId="0" xfId="1" applyNumberFormat="1" applyFont="1" applyFill="1" applyBorder="1" applyAlignment="1" applyProtection="1">
      <alignment horizontal="right"/>
      <protection locked="0"/>
    </xf>
    <xf numFmtId="0" fontId="17" fillId="11" borderId="0" xfId="0" applyFont="1" applyFill="1" applyAlignment="1" applyProtection="1">
      <alignment horizontal="center" vertical="center" wrapText="1"/>
      <protection locked="0"/>
    </xf>
    <xf numFmtId="2" fontId="38" fillId="0" borderId="0" xfId="0" applyNumberFormat="1" applyFont="1" applyProtection="1">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37" fillId="0" borderId="26" xfId="0" applyFont="1" applyBorder="1" applyAlignment="1" applyProtection="1">
      <alignment horizontal="center" vertical="center" wrapText="1"/>
      <protection locked="0"/>
    </xf>
    <xf numFmtId="0" fontId="38" fillId="16" borderId="27" xfId="0" applyFont="1" applyFill="1" applyBorder="1" applyProtection="1">
      <protection locked="0"/>
    </xf>
    <xf numFmtId="165" fontId="38" fillId="16" borderId="27" xfId="1" applyNumberFormat="1" applyFont="1" applyFill="1" applyBorder="1" applyProtection="1"/>
    <xf numFmtId="165" fontId="38" fillId="16" borderId="7" xfId="1" applyNumberFormat="1" applyFont="1" applyFill="1" applyBorder="1" applyProtection="1"/>
    <xf numFmtId="0" fontId="0" fillId="0" borderId="0" xfId="0" applyAlignment="1" applyProtection="1">
      <alignment vertical="top" wrapText="1"/>
      <protection locked="0"/>
    </xf>
    <xf numFmtId="0" fontId="0" fillId="0" borderId="0" xfId="0" applyAlignment="1" applyProtection="1">
      <alignment horizontal="right" vertical="top" wrapText="1"/>
      <protection locked="0"/>
    </xf>
    <xf numFmtId="0" fontId="37" fillId="0" borderId="0" xfId="0" applyFont="1" applyProtection="1">
      <protection locked="0"/>
    </xf>
    <xf numFmtId="165" fontId="38" fillId="0" borderId="0" xfId="1" applyNumberFormat="1" applyFont="1" applyProtection="1">
      <protection locked="0"/>
    </xf>
    <xf numFmtId="0" fontId="39" fillId="16" borderId="52" xfId="0" applyFont="1" applyFill="1" applyBorder="1" applyAlignment="1" applyProtection="1">
      <alignment vertical="center"/>
      <protection locked="0"/>
    </xf>
    <xf numFmtId="165" fontId="39" fillId="16" borderId="52" xfId="1" applyNumberFormat="1" applyFont="1" applyFill="1" applyBorder="1" applyAlignment="1" applyProtection="1">
      <alignment vertical="center"/>
    </xf>
    <xf numFmtId="0" fontId="4" fillId="0" borderId="0" xfId="0" applyFont="1" applyAlignment="1" applyProtection="1">
      <alignment horizontal="left" vertical="top" wrapText="1"/>
      <protection locked="0"/>
    </xf>
    <xf numFmtId="0" fontId="39" fillId="16" borderId="0" xfId="0" applyFont="1" applyFill="1" applyAlignment="1" applyProtection="1">
      <alignment vertical="center"/>
      <protection locked="0"/>
    </xf>
    <xf numFmtId="165" fontId="39" fillId="16" borderId="0" xfId="1" applyNumberFormat="1" applyFont="1" applyFill="1" applyBorder="1" applyAlignment="1" applyProtection="1">
      <alignment vertical="center"/>
    </xf>
    <xf numFmtId="165" fontId="38" fillId="0" borderId="0" xfId="1" applyNumberFormat="1" applyFont="1" applyFill="1" applyProtection="1">
      <protection locked="0"/>
    </xf>
    <xf numFmtId="0" fontId="37" fillId="16" borderId="10" xfId="0" applyFont="1" applyFill="1" applyBorder="1" applyProtection="1">
      <protection locked="0"/>
    </xf>
    <xf numFmtId="165" fontId="38" fillId="16" borderId="10" xfId="1" applyNumberFormat="1" applyFont="1" applyFill="1" applyBorder="1" applyProtection="1"/>
    <xf numFmtId="167" fontId="0" fillId="16" borderId="0" xfId="1" applyNumberFormat="1" applyFont="1" applyFill="1" applyProtection="1">
      <protection locked="0"/>
    </xf>
    <xf numFmtId="0" fontId="0" fillId="16" borderId="0" xfId="0" applyFill="1" applyProtection="1">
      <protection locked="0"/>
    </xf>
    <xf numFmtId="165" fontId="0" fillId="16" borderId="0" xfId="1" applyNumberFormat="1" applyFont="1" applyFill="1" applyProtection="1"/>
    <xf numFmtId="9" fontId="0" fillId="16" borderId="0" xfId="0" applyNumberFormat="1" applyFill="1" applyAlignment="1" applyProtection="1">
      <alignment horizontal="left"/>
      <protection locked="0"/>
    </xf>
    <xf numFmtId="0" fontId="0" fillId="16" borderId="0" xfId="0" applyFill="1"/>
    <xf numFmtId="167" fontId="39" fillId="16" borderId="0" xfId="1" applyNumberFormat="1" applyFont="1" applyFill="1" applyAlignment="1" applyProtection="1">
      <alignment vertical="center"/>
      <protection locked="0"/>
    </xf>
    <xf numFmtId="172" fontId="39" fillId="16" borderId="0" xfId="1" applyNumberFormat="1" applyFont="1" applyFill="1" applyAlignment="1" applyProtection="1">
      <alignment vertical="center"/>
      <protection locked="0"/>
    </xf>
    <xf numFmtId="165" fontId="39" fillId="16" borderId="0" xfId="1" applyNumberFormat="1" applyFont="1" applyFill="1" applyAlignment="1" applyProtection="1">
      <alignment vertical="center"/>
      <protection locked="0"/>
    </xf>
    <xf numFmtId="0" fontId="39" fillId="0" borderId="0" xfId="0" applyFont="1" applyAlignment="1" applyProtection="1">
      <alignment vertical="center"/>
      <protection locked="0"/>
    </xf>
    <xf numFmtId="173" fontId="39" fillId="0" borderId="0" xfId="0" applyNumberFormat="1" applyFont="1" applyAlignment="1" applyProtection="1">
      <alignment vertical="center"/>
      <protection locked="0"/>
    </xf>
    <xf numFmtId="167" fontId="13" fillId="20" borderId="0" xfId="1" applyNumberFormat="1" applyFont="1" applyFill="1" applyBorder="1" applyProtection="1">
      <protection locked="0"/>
    </xf>
    <xf numFmtId="167" fontId="0" fillId="0" borderId="0" xfId="1" applyNumberFormat="1" applyFont="1" applyProtection="1">
      <protection locked="0"/>
    </xf>
    <xf numFmtId="174" fontId="0" fillId="0" borderId="0" xfId="2" applyNumberFormat="1" applyFont="1" applyProtection="1">
      <protection locked="0"/>
    </xf>
    <xf numFmtId="9" fontId="0" fillId="0" borderId="28" xfId="2" applyFont="1" applyBorder="1" applyAlignment="1" applyProtection="1">
      <alignment vertical="center"/>
      <protection locked="0"/>
    </xf>
    <xf numFmtId="175" fontId="0" fillId="0" borderId="28" xfId="1" applyNumberFormat="1" applyFont="1" applyBorder="1" applyProtection="1">
      <protection locked="0"/>
    </xf>
    <xf numFmtId="176" fontId="0" fillId="0" borderId="0" xfId="0" applyNumberFormat="1" applyProtection="1">
      <protection locked="0"/>
    </xf>
    <xf numFmtId="164" fontId="0" fillId="0" borderId="0" xfId="1" applyFont="1" applyProtection="1">
      <protection locked="0"/>
    </xf>
    <xf numFmtId="0" fontId="4" fillId="0" borderId="0" xfId="0" applyFont="1" applyAlignment="1" applyProtection="1">
      <alignment horizontal="right"/>
      <protection locked="0"/>
    </xf>
    <xf numFmtId="0" fontId="4" fillId="11" borderId="0" xfId="0" applyFont="1" applyFill="1" applyProtection="1">
      <protection locked="0"/>
    </xf>
    <xf numFmtId="177" fontId="4" fillId="11" borderId="0" xfId="1" applyNumberFormat="1" applyFont="1" applyFill="1" applyProtection="1">
      <protection locked="0"/>
    </xf>
    <xf numFmtId="0" fontId="0" fillId="0" borderId="4" xfId="0" applyBorder="1" applyProtection="1">
      <protection locked="0"/>
    </xf>
    <xf numFmtId="0" fontId="0" fillId="0" borderId="21" xfId="0" applyBorder="1" applyProtection="1">
      <protection locked="0"/>
    </xf>
    <xf numFmtId="165" fontId="0" fillId="4" borderId="21" xfId="1" applyNumberFormat="1" applyFont="1" applyFill="1" applyBorder="1" applyProtection="1">
      <protection locked="0"/>
    </xf>
    <xf numFmtId="0" fontId="0" fillId="0" borderId="2" xfId="0" applyBorder="1" applyProtection="1">
      <protection locked="0"/>
    </xf>
    <xf numFmtId="165" fontId="0" fillId="0" borderId="0" xfId="1" applyNumberFormat="1" applyFont="1" applyBorder="1" applyProtection="1">
      <protection locked="0"/>
    </xf>
    <xf numFmtId="0" fontId="0" fillId="0" borderId="27" xfId="0" applyBorder="1" applyProtection="1">
      <protection locked="0"/>
    </xf>
    <xf numFmtId="0" fontId="0" fillId="0" borderId="53" xfId="0" applyBorder="1"/>
    <xf numFmtId="0" fontId="0" fillId="0" borderId="54" xfId="0" applyBorder="1"/>
    <xf numFmtId="0" fontId="4" fillId="11" borderId="54" xfId="0" applyFont="1" applyFill="1" applyBorder="1" applyAlignment="1">
      <alignment horizontal="center"/>
    </xf>
    <xf numFmtId="0" fontId="0" fillId="0" borderId="55" xfId="0" applyBorder="1"/>
    <xf numFmtId="0" fontId="0" fillId="0" borderId="56" xfId="0" applyBorder="1"/>
    <xf numFmtId="0" fontId="4" fillId="16" borderId="0" xfId="0" applyFont="1" applyFill="1" applyAlignment="1">
      <alignment horizontal="center"/>
    </xf>
    <xf numFmtId="0" fontId="0" fillId="0" borderId="57" xfId="0" applyBorder="1"/>
    <xf numFmtId="0" fontId="4" fillId="0" borderId="35" xfId="0" applyFont="1" applyBorder="1"/>
    <xf numFmtId="0" fontId="4" fillId="0" borderId="10" xfId="0" applyFont="1" applyBorder="1"/>
    <xf numFmtId="0" fontId="4" fillId="0" borderId="10" xfId="0" applyFont="1" applyBorder="1" applyAlignment="1">
      <alignment horizontal="right"/>
    </xf>
    <xf numFmtId="0" fontId="4" fillId="11" borderId="10" xfId="0" applyFont="1" applyFill="1" applyBorder="1" applyAlignment="1">
      <alignment horizontal="right"/>
    </xf>
    <xf numFmtId="0" fontId="40" fillId="0" borderId="0" xfId="0" applyFont="1" applyAlignment="1">
      <alignment vertical="top"/>
    </xf>
    <xf numFmtId="0" fontId="40" fillId="0" borderId="0" xfId="0" applyFont="1" applyAlignment="1">
      <alignment horizontal="right" vertical="top" wrapText="1"/>
    </xf>
    <xf numFmtId="165" fontId="0" fillId="0" borderId="0" xfId="1" applyNumberFormat="1" applyFont="1" applyBorder="1" applyAlignment="1" applyProtection="1">
      <alignment horizontal="right"/>
    </xf>
    <xf numFmtId="9" fontId="0" fillId="0" borderId="0" xfId="2" applyFont="1" applyBorder="1" applyProtection="1"/>
    <xf numFmtId="9" fontId="0" fillId="11" borderId="0" xfId="2" applyFont="1" applyFill="1" applyBorder="1" applyProtection="1"/>
    <xf numFmtId="165" fontId="0" fillId="0" borderId="0" xfId="1" applyNumberFormat="1" applyFont="1" applyBorder="1" applyProtection="1"/>
    <xf numFmtId="9" fontId="0" fillId="0" borderId="0" xfId="2" applyFont="1" applyBorder="1" applyAlignment="1" applyProtection="1">
      <alignment horizontal="right"/>
    </xf>
    <xf numFmtId="0" fontId="40" fillId="0" borderId="0" xfId="0" applyFont="1" applyAlignment="1">
      <alignment vertical="top" wrapText="1"/>
    </xf>
    <xf numFmtId="171" fontId="0" fillId="0" borderId="0" xfId="2" applyNumberFormat="1" applyFont="1" applyBorder="1" applyAlignment="1" applyProtection="1">
      <alignment horizontal="right"/>
    </xf>
    <xf numFmtId="165" fontId="0" fillId="0" borderId="0" xfId="0" applyNumberFormat="1"/>
    <xf numFmtId="0" fontId="12" fillId="9" borderId="56" xfId="0" applyFont="1" applyFill="1" applyBorder="1"/>
    <xf numFmtId="0" fontId="0" fillId="9" borderId="0" xfId="0" applyFill="1"/>
    <xf numFmtId="171" fontId="0" fillId="0" borderId="0" xfId="2" applyNumberFormat="1" applyFont="1" applyBorder="1" applyProtection="1"/>
    <xf numFmtId="0" fontId="4" fillId="8" borderId="56" xfId="0" applyFont="1" applyFill="1" applyBorder="1"/>
    <xf numFmtId="0" fontId="0" fillId="8" borderId="0" xfId="0" applyFill="1"/>
    <xf numFmtId="165" fontId="0" fillId="8" borderId="0" xfId="1" applyNumberFormat="1" applyFont="1" applyFill="1" applyBorder="1" applyProtection="1"/>
    <xf numFmtId="0" fontId="4" fillId="0" borderId="56" xfId="0" applyFont="1" applyBorder="1" applyProtection="1">
      <protection locked="0"/>
    </xf>
    <xf numFmtId="0" fontId="0" fillId="0" borderId="57" xfId="0" applyBorder="1" applyProtection="1">
      <protection locked="0"/>
    </xf>
    <xf numFmtId="0" fontId="0" fillId="0" borderId="56" xfId="0" applyBorder="1" applyProtection="1">
      <protection locked="0"/>
    </xf>
    <xf numFmtId="0" fontId="0" fillId="0" borderId="35" xfId="0" applyBorder="1" applyProtection="1">
      <protection locked="0"/>
    </xf>
    <xf numFmtId="0" fontId="0" fillId="0" borderId="10" xfId="0" applyBorder="1" applyProtection="1">
      <protection locked="0"/>
    </xf>
    <xf numFmtId="165" fontId="0" fillId="0" borderId="10" xfId="1" applyNumberFormat="1" applyFont="1" applyBorder="1" applyProtection="1">
      <protection locked="0"/>
    </xf>
    <xf numFmtId="0" fontId="0" fillId="0" borderId="58" xfId="0" applyBorder="1" applyProtection="1">
      <protection locked="0"/>
    </xf>
  </cellXfs>
  <cellStyles count="6">
    <cellStyle name="Comma" xfId="1" builtinId="3"/>
    <cellStyle name="Hyperlink" xfId="3" builtinId="8"/>
    <cellStyle name="Normal" xfId="0" builtinId="0"/>
    <cellStyle name="Normal 11" xfId="4" xr:uid="{5A788FB5-13A7-49BF-89C5-88A9A2E1032C}"/>
    <cellStyle name="Normal 2 2 2 2" xfId="5" xr:uid="{CE50D0FF-CBED-4335-8C68-ECED60FB140A}"/>
    <cellStyle name="Percent" xfId="2" builtinId="5"/>
  </cellStyles>
  <dxfs count="40">
    <dxf>
      <fill>
        <patternFill>
          <bgColor rgb="FFFF0000"/>
        </patternFill>
      </fill>
    </dxf>
    <dxf>
      <fill>
        <patternFill>
          <bgColor rgb="FFFF0000"/>
        </patternFill>
      </fill>
    </dxf>
    <dxf>
      <fill>
        <patternFill patternType="none">
          <bgColor auto="1"/>
        </patternFill>
      </fill>
    </dxf>
    <dxf>
      <fill>
        <patternFill>
          <bgColor rgb="FFFF0000"/>
        </patternFill>
      </fill>
    </dxf>
    <dxf>
      <fill>
        <patternFill>
          <bgColor rgb="FFFF0000"/>
        </patternFill>
      </fill>
    </dxf>
    <dxf>
      <font>
        <color auto="1"/>
      </font>
      <fill>
        <patternFill>
          <bgColor theme="1"/>
        </patternFill>
      </fill>
    </dxf>
    <dxf>
      <fill>
        <patternFill>
          <bgColor rgb="FFFF0000"/>
        </patternFill>
      </fill>
    </dxf>
    <dxf>
      <fill>
        <patternFill>
          <bgColor rgb="FFFFFF00"/>
        </patternFill>
      </fill>
    </dxf>
    <dxf>
      <fill>
        <patternFill>
          <bgColor theme="0" tint="-0.499984740745262"/>
        </patternFill>
      </fill>
    </dxf>
    <dxf>
      <fill>
        <patternFill>
          <bgColor theme="7" tint="0.79998168889431442"/>
        </patternFill>
      </fill>
    </dxf>
    <dxf>
      <fill>
        <patternFill>
          <bgColor rgb="FFFF0000"/>
        </patternFill>
      </fill>
    </dxf>
    <dxf>
      <fill>
        <patternFill>
          <bgColor rgb="FFFF00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7" tint="0.79998168889431442"/>
        </patternFill>
      </fill>
    </dxf>
    <dxf>
      <fill>
        <patternFill>
          <bgColor theme="0" tint="-0.499984740745262"/>
        </patternFill>
      </fill>
    </dxf>
    <dxf>
      <fill>
        <patternFill>
          <bgColor theme="7" tint="0.79998168889431442"/>
        </patternFill>
      </fill>
    </dxf>
    <dxf>
      <fill>
        <patternFill>
          <bgColor theme="7" tint="0.79998168889431442"/>
        </patternFill>
      </fill>
    </dxf>
    <dxf>
      <font>
        <color rgb="FFFF0000"/>
      </font>
    </dxf>
    <dxf>
      <font>
        <color rgb="FFFF0000"/>
      </font>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16</xdr:col>
      <xdr:colOff>136301</xdr:colOff>
      <xdr:row>12</xdr:row>
      <xdr:rowOff>56103</xdr:rowOff>
    </xdr:from>
    <xdr:to>
      <xdr:col>27</xdr:col>
      <xdr:colOff>208816</xdr:colOff>
      <xdr:row>24</xdr:row>
      <xdr:rowOff>111497</xdr:rowOff>
    </xdr:to>
    <xdr:pic>
      <xdr:nvPicPr>
        <xdr:cNvPr id="2" name="Picture 2">
          <a:extLst>
            <a:ext uri="{FF2B5EF4-FFF2-40B4-BE49-F238E27FC236}">
              <a16:creationId xmlns:a16="http://schemas.microsoft.com/office/drawing/2014/main" id="{46FD43A3-DDD0-4206-8C0A-42B131EB5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5861" y="3347943"/>
          <a:ext cx="10588115" cy="2478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171450</xdr:colOff>
      <xdr:row>75</xdr:row>
      <xdr:rowOff>19050</xdr:rowOff>
    </xdr:from>
    <xdr:to>
      <xdr:col>20</xdr:col>
      <xdr:colOff>1447800</xdr:colOff>
      <xdr:row>92</xdr:row>
      <xdr:rowOff>20955</xdr:rowOff>
    </xdr:to>
    <xdr:pic>
      <xdr:nvPicPr>
        <xdr:cNvPr id="2" name="Picture 1">
          <a:extLst>
            <a:ext uri="{FF2B5EF4-FFF2-40B4-BE49-F238E27FC236}">
              <a16:creationId xmlns:a16="http://schemas.microsoft.com/office/drawing/2014/main" id="{389C89AF-E3EF-49AC-B807-FCFB9E7B9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0" y="10328910"/>
          <a:ext cx="3409950" cy="340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npatlp\AppData\Local\Microsoft\Windows\INetCache\Content.Outlook\RZ8Q43DH\Visa%20Direct%20-%20Latest%20Pricing%20vNov25%20AuoContract_RBI_group_realistic_V3_09_01_26%20(002).xlsm" TargetMode="External"/><Relationship Id="rId1" Type="http://schemas.openxmlformats.org/officeDocument/2006/relationships/externalLinkPath" Target="file:///C:\Users\ganpatlp\AppData\Local\Microsoft\Windows\INetCache\Content.Outlook\RZ8Q43DH\Visa%20Direct%20-%20Latest%20Pricing%20vNov25%20AuoContract_RBI_group_realistic_V3_09_01_26%20(00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finance\BPA%20Structuring\Consolidated\WIP%20NEW%20TOM%20CLIENT%20INCENTIVE%20MODEL%20-%20Copy\Model%20Build\v2.6%20Working%20Files\2024%20Model%20v.2.6_v14_MI%20Macro.xlsb" TargetMode="External"/><Relationship Id="rId1" Type="http://schemas.openxmlformats.org/officeDocument/2006/relationships/externalLinkPath" Target="/finance/BPA%20Structuring/Consolidated/WIP%20NEW%20TOM%20CLIENT%20INCENTIVE%20MODEL%20-%20Copy/Model%20Build/v2.6%20Working%20Files/2024%20Model%20v.2.6_v14_MI%20Macro.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 Control"/>
      <sheetName val="Inputs (2)"/>
      <sheetName val="Automation"/>
      <sheetName val="Schedules"/>
      <sheetName val="Intro"/>
      <sheetName val="Inputs"/>
      <sheetName val="TAM"/>
      <sheetName val="RBI Proposal_JS"/>
      <sheetName val="P&amp;L"/>
      <sheetName val="Calcs"/>
      <sheetName val="MI Database Template"/>
      <sheetName val="Offer Summary(All Volumes)"/>
      <sheetName val="Amortised P&amp;L EUR"/>
      <sheetName val="VDDR1"/>
      <sheetName val="VDDR2"/>
      <sheetName val="Dropdown Logic"/>
      <sheetName val="Amortised P&amp;L USD"/>
      <sheetName val="VIK Guide"/>
      <sheetName val="Metrics2"/>
      <sheetName val="Database"/>
      <sheetName val="Metrics"/>
      <sheetName val="MSD Reporting"/>
      <sheetName val="Scorecard"/>
      <sheetName val="Deal Size Table"/>
      <sheetName val="List of Deals"/>
      <sheetName val="Dorp Down Lists"/>
      <sheetName val="Deals Database"/>
      <sheetName val="Ref2.Europe Acquirer Fees"/>
    </sheetNames>
    <sheetDataSet>
      <sheetData sheetId="0">
        <row r="13">
          <cell r="C13" t="str">
            <v>vMar25</v>
          </cell>
        </row>
      </sheetData>
      <sheetData sheetId="1"/>
      <sheetData sheetId="2"/>
      <sheetData sheetId="3"/>
      <sheetData sheetId="4"/>
      <sheetData sheetId="5"/>
      <sheetData sheetId="6"/>
      <sheetData sheetId="7"/>
      <sheetData sheetId="8"/>
      <sheetData sheetId="9">
        <row r="3">
          <cell r="B3">
            <v>0.01</v>
          </cell>
        </row>
        <row r="4">
          <cell r="B4">
            <v>0.01</v>
          </cell>
        </row>
        <row r="7">
          <cell r="J7">
            <v>0.04</v>
          </cell>
        </row>
        <row r="8">
          <cell r="J8">
            <v>0.04</v>
          </cell>
        </row>
        <row r="10">
          <cell r="J10">
            <v>0.86156672916311572</v>
          </cell>
        </row>
        <row r="11">
          <cell r="J11">
            <v>0.98522243054371916</v>
          </cell>
        </row>
        <row r="12">
          <cell r="J12">
            <v>0.03</v>
          </cell>
        </row>
        <row r="13">
          <cell r="J13">
            <v>0.86156672916311572</v>
          </cell>
        </row>
        <row r="14">
          <cell r="J14">
            <v>0.86156672916311572</v>
          </cell>
        </row>
        <row r="15">
          <cell r="J15">
            <v>0.86156672916311572</v>
          </cell>
        </row>
        <row r="16">
          <cell r="J16">
            <v>0.98522243054371916</v>
          </cell>
        </row>
        <row r="17">
          <cell r="J17">
            <v>0.03</v>
          </cell>
        </row>
        <row r="18">
          <cell r="J18">
            <v>1.339222430543719</v>
          </cell>
        </row>
        <row r="19">
          <cell r="J19">
            <v>1.339222430543719</v>
          </cell>
        </row>
        <row r="20">
          <cell r="J20">
            <v>1.339222430543719</v>
          </cell>
        </row>
        <row r="21">
          <cell r="J21">
            <v>0.98522243054371916</v>
          </cell>
        </row>
        <row r="22">
          <cell r="J22">
            <v>0.03</v>
          </cell>
        </row>
        <row r="23">
          <cell r="J23">
            <v>1.339222430543719</v>
          </cell>
        </row>
        <row r="24">
          <cell r="J24">
            <v>1.339222430543719</v>
          </cell>
        </row>
        <row r="25">
          <cell r="J25">
            <v>1.339222430543719</v>
          </cell>
        </row>
        <row r="26">
          <cell r="J26">
            <v>0.98522243054371916</v>
          </cell>
        </row>
        <row r="27">
          <cell r="J27">
            <v>0.04</v>
          </cell>
        </row>
        <row r="28">
          <cell r="J28">
            <v>0.04</v>
          </cell>
        </row>
        <row r="29">
          <cell r="J29">
            <v>0.86156672916311572</v>
          </cell>
        </row>
        <row r="30">
          <cell r="J30">
            <v>1.339222430543719</v>
          </cell>
        </row>
        <row r="31">
          <cell r="J31">
            <v>0.98522243054371916</v>
          </cell>
        </row>
        <row r="32">
          <cell r="J32">
            <v>0</v>
          </cell>
        </row>
        <row r="33">
          <cell r="J33">
            <v>0</v>
          </cell>
        </row>
        <row r="34">
          <cell r="J34">
            <v>0</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1.4999999999999999E-2</v>
          </cell>
        </row>
        <row r="53">
          <cell r="J53">
            <v>1.4999999999999999E-2</v>
          </cell>
        </row>
        <row r="54">
          <cell r="J54">
            <v>3.4000000000000002E-2</v>
          </cell>
        </row>
        <row r="55">
          <cell r="J55">
            <v>3.4000000000000002E-2</v>
          </cell>
        </row>
        <row r="56">
          <cell r="J56">
            <v>8.5222430543719113E-2</v>
          </cell>
        </row>
        <row r="57">
          <cell r="J57">
            <v>3.4000000000000002E-2</v>
          </cell>
        </row>
        <row r="58">
          <cell r="J58">
            <v>3.4000000000000002E-2</v>
          </cell>
        </row>
        <row r="59">
          <cell r="J59">
            <v>3.4000000000000002E-2</v>
          </cell>
        </row>
        <row r="60">
          <cell r="J60">
            <v>3.4000000000000002E-2</v>
          </cell>
        </row>
        <row r="61">
          <cell r="J61">
            <v>8.5222430543719113E-2</v>
          </cell>
        </row>
        <row r="62">
          <cell r="J62">
            <v>3.4000000000000002E-2</v>
          </cell>
        </row>
        <row r="63">
          <cell r="J63">
            <v>8.5222430543719113E-2</v>
          </cell>
        </row>
        <row r="64">
          <cell r="J64">
            <v>8.5222430543719113E-2</v>
          </cell>
        </row>
        <row r="65">
          <cell r="J65">
            <v>8.5222430543719113E-2</v>
          </cell>
        </row>
        <row r="66">
          <cell r="J66">
            <v>8.5222430543719113E-2</v>
          </cell>
        </row>
        <row r="67">
          <cell r="J67">
            <v>3.4000000000000002E-2</v>
          </cell>
        </row>
        <row r="68">
          <cell r="J68">
            <v>8.5222430543719113E-2</v>
          </cell>
        </row>
        <row r="69">
          <cell r="J69">
            <v>8.5222430543719113E-2</v>
          </cell>
        </row>
        <row r="70">
          <cell r="J70">
            <v>8.5222430543719113E-2</v>
          </cell>
        </row>
        <row r="71">
          <cell r="J71">
            <v>8.5222430543719113E-2</v>
          </cell>
        </row>
        <row r="72">
          <cell r="J72">
            <v>1.4999999999999999E-2</v>
          </cell>
        </row>
        <row r="73">
          <cell r="J73">
            <v>1.4999999999999999E-2</v>
          </cell>
        </row>
        <row r="74">
          <cell r="J74">
            <v>3.4000000000000002E-2</v>
          </cell>
        </row>
        <row r="75">
          <cell r="J75">
            <v>8.5222430543719113E-2</v>
          </cell>
        </row>
        <row r="76">
          <cell r="J76">
            <v>8.5222430543719113E-2</v>
          </cell>
        </row>
        <row r="77">
          <cell r="J77">
            <v>1.4999999999999999E-2</v>
          </cell>
        </row>
        <row r="78">
          <cell r="J78">
            <v>1.4999999999999999E-2</v>
          </cell>
        </row>
        <row r="79">
          <cell r="J79">
            <v>3.4000000000000002E-2</v>
          </cell>
        </row>
        <row r="80">
          <cell r="J80">
            <v>1.099</v>
          </cell>
        </row>
        <row r="81">
          <cell r="J81">
            <v>0.84522243054371915</v>
          </cell>
        </row>
        <row r="103">
          <cell r="AN103">
            <v>19813.446968787415</v>
          </cell>
          <cell r="AO103">
            <v>30824.575878008844</v>
          </cell>
          <cell r="AP103">
            <v>48691.552398452011</v>
          </cell>
          <cell r="AQ103">
            <v>68771.948607573635</v>
          </cell>
          <cell r="AR103">
            <v>99876.676179107977</v>
          </cell>
          <cell r="AS103">
            <v>0</v>
          </cell>
          <cell r="AT103">
            <v>0</v>
          </cell>
          <cell r="AU103">
            <v>0</v>
          </cell>
          <cell r="AV103">
            <v>0</v>
          </cell>
          <cell r="AW103">
            <v>0</v>
          </cell>
          <cell r="AY103">
            <v>835.78500000000008</v>
          </cell>
          <cell r="AZ103">
            <v>1380.4142702856077</v>
          </cell>
          <cell r="BA103">
            <v>2321.0679944659432</v>
          </cell>
          <cell r="BB103">
            <v>3278.2764353836992</v>
          </cell>
          <cell r="BC103">
            <v>4823.1642055582688</v>
          </cell>
          <cell r="BD103">
            <v>0</v>
          </cell>
          <cell r="BE103">
            <v>0</v>
          </cell>
          <cell r="BF103">
            <v>0</v>
          </cell>
          <cell r="BG103">
            <v>0</v>
          </cell>
          <cell r="BH103">
            <v>0</v>
          </cell>
        </row>
        <row r="104">
          <cell r="AN104">
            <v>0</v>
          </cell>
          <cell r="AO104">
            <v>0</v>
          </cell>
          <cell r="AP104">
            <v>0</v>
          </cell>
          <cell r="AQ104">
            <v>0</v>
          </cell>
          <cell r="AR104">
            <v>0</v>
          </cell>
          <cell r="AS104">
            <v>0</v>
          </cell>
          <cell r="AT104">
            <v>0</v>
          </cell>
          <cell r="AU104">
            <v>0</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K104">
            <v>0</v>
          </cell>
          <cell r="BL104">
            <v>0</v>
          </cell>
          <cell r="BM104">
            <v>0</v>
          </cell>
          <cell r="BN104">
            <v>0</v>
          </cell>
          <cell r="BO104">
            <v>0</v>
          </cell>
          <cell r="BP104">
            <v>0</v>
          </cell>
          <cell r="BQ104">
            <v>0</v>
          </cell>
          <cell r="BR104">
            <v>0</v>
          </cell>
          <cell r="BS104">
            <v>0</v>
          </cell>
        </row>
        <row r="105">
          <cell r="AN105">
            <v>36797.623788590696</v>
          </cell>
          <cell r="AO105">
            <v>60675.570639640981</v>
          </cell>
          <cell r="AP105">
            <v>102021.63806122492</v>
          </cell>
          <cell r="AQ105">
            <v>144095.36159767411</v>
          </cell>
          <cell r="AR105">
            <v>212000.30075057806</v>
          </cell>
          <cell r="AS105">
            <v>0</v>
          </cell>
          <cell r="AT105">
            <v>0</v>
          </cell>
          <cell r="AU105">
            <v>0</v>
          </cell>
          <cell r="AV105">
            <v>0</v>
          </cell>
          <cell r="AW105">
            <v>0</v>
          </cell>
          <cell r="AY105">
            <v>190.26</v>
          </cell>
          <cell r="AZ105">
            <v>314.24064689428462</v>
          </cell>
          <cell r="BA105">
            <v>528.37320199224712</v>
          </cell>
          <cell r="BB105">
            <v>746.27431049385018</v>
          </cell>
          <cell r="BC105">
            <v>1097.9560793140772</v>
          </cell>
          <cell r="BD105">
            <v>0</v>
          </cell>
          <cell r="BE105">
            <v>0</v>
          </cell>
          <cell r="BF105">
            <v>0</v>
          </cell>
          <cell r="BG105">
            <v>0</v>
          </cell>
          <cell r="BH105">
            <v>0</v>
          </cell>
          <cell r="BJ105">
            <v>29224.112729760105</v>
          </cell>
          <cell r="BK105">
            <v>48209.544367169401</v>
          </cell>
          <cell r="BL105">
            <v>81060.905314511983</v>
          </cell>
          <cell r="BM105">
            <v>114490.42266621676</v>
          </cell>
          <cell r="BN105">
            <v>168444.0343476714</v>
          </cell>
          <cell r="BO105">
            <v>0</v>
          </cell>
          <cell r="BP105">
            <v>0</v>
          </cell>
          <cell r="BQ105">
            <v>0</v>
          </cell>
          <cell r="BR105">
            <v>0</v>
          </cell>
          <cell r="BS105">
            <v>0</v>
          </cell>
        </row>
        <row r="106">
          <cell r="AN106">
            <v>119760.81466675778</v>
          </cell>
          <cell r="AO106">
            <v>304944.25923388451</v>
          </cell>
          <cell r="AP106">
            <v>689549.57298586215</v>
          </cell>
          <cell r="AQ106">
            <v>973919.81688523199</v>
          </cell>
          <cell r="AR106">
            <v>1506360.5321612384</v>
          </cell>
          <cell r="AS106">
            <v>0</v>
          </cell>
          <cell r="AT106">
            <v>0</v>
          </cell>
          <cell r="AU106">
            <v>0</v>
          </cell>
          <cell r="AV106">
            <v>0</v>
          </cell>
          <cell r="AW106">
            <v>0</v>
          </cell>
          <cell r="AY106">
            <v>0</v>
          </cell>
          <cell r="AZ106">
            <v>0</v>
          </cell>
          <cell r="BA106">
            <v>0</v>
          </cell>
          <cell r="BB106">
            <v>0</v>
          </cell>
          <cell r="BC106">
            <v>0</v>
          </cell>
          <cell r="BD106">
            <v>0</v>
          </cell>
          <cell r="BE106">
            <v>0</v>
          </cell>
          <cell r="BF106">
            <v>0</v>
          </cell>
          <cell r="BG106">
            <v>0</v>
          </cell>
          <cell r="BH106">
            <v>0</v>
          </cell>
          <cell r="BJ106">
            <v>62996.030721272218</v>
          </cell>
          <cell r="BK106">
            <v>160405.37112600001</v>
          </cell>
          <cell r="BL106">
            <v>362713.68230526004</v>
          </cell>
          <cell r="BM106">
            <v>512296.80488794949</v>
          </cell>
          <cell r="BN106">
            <v>792368.81132941588</v>
          </cell>
          <cell r="BO106">
            <v>0</v>
          </cell>
          <cell r="BP106">
            <v>0</v>
          </cell>
          <cell r="BQ106">
            <v>0</v>
          </cell>
          <cell r="BR106">
            <v>0</v>
          </cell>
          <cell r="BS106">
            <v>0</v>
          </cell>
        </row>
        <row r="133">
          <cell r="AN133">
            <v>11808.01125</v>
          </cell>
          <cell r="AO133">
            <v>19502.560147876542</v>
          </cell>
          <cell r="AP133">
            <v>32792.161848643846</v>
          </cell>
          <cell r="AQ133">
            <v>46315.649395024571</v>
          </cell>
          <cell r="AR133">
            <v>68141.899172429927</v>
          </cell>
          <cell r="AS133">
            <v>0</v>
          </cell>
          <cell r="AT133">
            <v>0</v>
          </cell>
          <cell r="AU133">
            <v>0</v>
          </cell>
          <cell r="AV133">
            <v>0</v>
          </cell>
          <cell r="AW133">
            <v>0</v>
          </cell>
        </row>
        <row r="134">
          <cell r="AN134">
            <v>0</v>
          </cell>
          <cell r="AO134">
            <v>0</v>
          </cell>
          <cell r="AP134">
            <v>0</v>
          </cell>
          <cell r="AQ134">
            <v>0</v>
          </cell>
          <cell r="AR134">
            <v>0</v>
          </cell>
          <cell r="AS134">
            <v>0</v>
          </cell>
          <cell r="AT134">
            <v>0</v>
          </cell>
          <cell r="AU134">
            <v>0</v>
          </cell>
          <cell r="AV134">
            <v>0</v>
          </cell>
          <cell r="AW134">
            <v>0</v>
          </cell>
        </row>
        <row r="135">
          <cell r="AN135">
            <v>10728.588457772286</v>
          </cell>
          <cell r="AO135">
            <v>17719.744440412691</v>
          </cell>
          <cell r="AP135">
            <v>29794.484580522483</v>
          </cell>
          <cell r="AQ135">
            <v>42081.730021529969</v>
          </cell>
          <cell r="AR135">
            <v>61912.745294175977</v>
          </cell>
          <cell r="AS135">
            <v>0</v>
          </cell>
          <cell r="AT135">
            <v>0</v>
          </cell>
          <cell r="AU135">
            <v>0</v>
          </cell>
          <cell r="AV135">
            <v>0</v>
          </cell>
          <cell r="AW135">
            <v>0</v>
          </cell>
        </row>
        <row r="136">
          <cell r="AN136">
            <v>0</v>
          </cell>
          <cell r="AO136">
            <v>0</v>
          </cell>
          <cell r="AP136">
            <v>0</v>
          </cell>
          <cell r="AQ136">
            <v>0</v>
          </cell>
          <cell r="AR136">
            <v>0</v>
          </cell>
          <cell r="AS136">
            <v>0</v>
          </cell>
          <cell r="AT136">
            <v>0</v>
          </cell>
          <cell r="AU136">
            <v>0</v>
          </cell>
          <cell r="AV136">
            <v>0</v>
          </cell>
          <cell r="AW136">
            <v>0</v>
          </cell>
        </row>
        <row r="139">
          <cell r="AN139">
            <v>0</v>
          </cell>
          <cell r="AO139">
            <v>0</v>
          </cell>
          <cell r="AP139">
            <v>0</v>
          </cell>
          <cell r="AQ139">
            <v>0</v>
          </cell>
          <cell r="AR139">
            <v>0</v>
          </cell>
          <cell r="AS139">
            <v>0</v>
          </cell>
          <cell r="AT139">
            <v>0</v>
          </cell>
          <cell r="AU139">
            <v>0</v>
          </cell>
          <cell r="AV139">
            <v>0</v>
          </cell>
          <cell r="AW139">
            <v>0</v>
          </cell>
        </row>
        <row r="140">
          <cell r="AN140">
            <v>0</v>
          </cell>
          <cell r="AO140">
            <v>0</v>
          </cell>
          <cell r="AP140">
            <v>0</v>
          </cell>
          <cell r="AQ140">
            <v>0</v>
          </cell>
          <cell r="AR140">
            <v>0</v>
          </cell>
          <cell r="AS140">
            <v>0</v>
          </cell>
          <cell r="AT140">
            <v>0</v>
          </cell>
          <cell r="AU140">
            <v>0</v>
          </cell>
          <cell r="AV140">
            <v>0</v>
          </cell>
          <cell r="AW140">
            <v>0</v>
          </cell>
        </row>
        <row r="141">
          <cell r="AN141">
            <v>0</v>
          </cell>
          <cell r="AO141">
            <v>0</v>
          </cell>
          <cell r="AP141">
            <v>0</v>
          </cell>
          <cell r="AQ141">
            <v>0</v>
          </cell>
          <cell r="AR141">
            <v>0</v>
          </cell>
          <cell r="AS141">
            <v>0</v>
          </cell>
          <cell r="AT141">
            <v>0</v>
          </cell>
          <cell r="AU141">
            <v>0</v>
          </cell>
          <cell r="AV141">
            <v>0</v>
          </cell>
          <cell r="AW141">
            <v>0</v>
          </cell>
        </row>
        <row r="142">
          <cell r="AN142">
            <v>0</v>
          </cell>
          <cell r="AO142">
            <v>0</v>
          </cell>
          <cell r="AP142">
            <v>0</v>
          </cell>
          <cell r="AQ142">
            <v>0</v>
          </cell>
          <cell r="AR142">
            <v>0</v>
          </cell>
          <cell r="AS142">
            <v>0</v>
          </cell>
          <cell r="AT142">
            <v>0</v>
          </cell>
          <cell r="AU142">
            <v>0</v>
          </cell>
          <cell r="AV142">
            <v>0</v>
          </cell>
          <cell r="AW142">
            <v>0</v>
          </cell>
        </row>
        <row r="143">
          <cell r="AN143">
            <v>0</v>
          </cell>
          <cell r="AO143">
            <v>0</v>
          </cell>
          <cell r="AP143">
            <v>0</v>
          </cell>
          <cell r="AQ143">
            <v>0</v>
          </cell>
          <cell r="AR143">
            <v>0</v>
          </cell>
          <cell r="AS143">
            <v>0</v>
          </cell>
          <cell r="AT143">
            <v>0</v>
          </cell>
          <cell r="AU143">
            <v>0</v>
          </cell>
          <cell r="AV143">
            <v>0</v>
          </cell>
          <cell r="AW143">
            <v>0</v>
          </cell>
        </row>
        <row r="145">
          <cell r="AN145">
            <v>8841.2207187874137</v>
          </cell>
          <cell r="AO145">
            <v>12702.430000417909</v>
          </cell>
          <cell r="AP145">
            <v>18220.458544274115</v>
          </cell>
          <cell r="AQ145">
            <v>25734.575647932768</v>
          </cell>
          <cell r="AR145">
            <v>36557.941212236321</v>
          </cell>
          <cell r="AS145">
            <v>0</v>
          </cell>
          <cell r="AT145">
            <v>0</v>
          </cell>
          <cell r="AU145">
            <v>0</v>
          </cell>
          <cell r="AV145">
            <v>0</v>
          </cell>
          <cell r="AW145">
            <v>0</v>
          </cell>
        </row>
        <row r="146">
          <cell r="AN146">
            <v>0</v>
          </cell>
          <cell r="AO146">
            <v>0</v>
          </cell>
          <cell r="AP146">
            <v>0</v>
          </cell>
          <cell r="AQ146">
            <v>0</v>
          </cell>
          <cell r="AR146">
            <v>0</v>
          </cell>
          <cell r="AS146">
            <v>0</v>
          </cell>
          <cell r="AT146">
            <v>0</v>
          </cell>
          <cell r="AU146">
            <v>0</v>
          </cell>
          <cell r="AV146">
            <v>0</v>
          </cell>
          <cell r="AW146">
            <v>0</v>
          </cell>
        </row>
        <row r="147">
          <cell r="AN147">
            <v>26259.295330818408</v>
          </cell>
          <cell r="AO147">
            <v>43270.06684612258</v>
          </cell>
          <cell r="AP147">
            <v>72755.52668269469</v>
          </cell>
          <cell r="AQ147">
            <v>102759.90588663799</v>
          </cell>
          <cell r="AR147">
            <v>151185.51153571616</v>
          </cell>
          <cell r="AS147">
            <v>0</v>
          </cell>
          <cell r="AT147">
            <v>0</v>
          </cell>
          <cell r="AU147">
            <v>0</v>
          </cell>
          <cell r="AV147">
            <v>0</v>
          </cell>
          <cell r="AW147">
            <v>0</v>
          </cell>
        </row>
        <row r="148">
          <cell r="AN148">
            <v>119760.81466675778</v>
          </cell>
          <cell r="AO148">
            <v>304944.25923388451</v>
          </cell>
          <cell r="AP148">
            <v>689549.57298586215</v>
          </cell>
          <cell r="AQ148">
            <v>973919.81688523199</v>
          </cell>
          <cell r="AR148">
            <v>1506360.5321612384</v>
          </cell>
          <cell r="AS148">
            <v>0</v>
          </cell>
          <cell r="AT148">
            <v>0</v>
          </cell>
          <cell r="AU148">
            <v>0</v>
          </cell>
          <cell r="AV148">
            <v>0</v>
          </cell>
          <cell r="AW148">
            <v>0</v>
          </cell>
        </row>
        <row r="149">
          <cell r="AN149">
            <v>154861.33071636362</v>
          </cell>
          <cell r="AO149">
            <v>360916.756080425</v>
          </cell>
          <cell r="AP149">
            <v>780525.55821283092</v>
          </cell>
          <cell r="AQ149">
            <v>1102414.2984198027</v>
          </cell>
          <cell r="AR149">
            <v>1694103.9849091908</v>
          </cell>
          <cell r="AS149">
            <v>0</v>
          </cell>
          <cell r="AT149">
            <v>0</v>
          </cell>
          <cell r="AU149">
            <v>0</v>
          </cell>
          <cell r="AV149">
            <v>0</v>
          </cell>
          <cell r="AW149">
            <v>0</v>
          </cell>
        </row>
      </sheetData>
      <sheetData sheetId="10">
        <row r="9">
          <cell r="P9" t="str">
            <v>Please Select Approval Route !!!</v>
          </cell>
        </row>
        <row r="10">
          <cell r="P10" t="str">
            <v>GPIC</v>
          </cell>
        </row>
        <row r="11">
          <cell r="P11" t="str">
            <v>EDR</v>
          </cell>
        </row>
        <row r="12">
          <cell r="P12" t="str">
            <v>GIG</v>
          </cell>
        </row>
        <row r="13">
          <cell r="P13" t="str">
            <v>VD FAST TRACK</v>
          </cell>
        </row>
        <row r="14">
          <cell r="P14" t="str">
            <v>Other (provide in comments)</v>
          </cell>
        </row>
      </sheetData>
      <sheetData sheetId="11"/>
      <sheetData sheetId="12"/>
      <sheetData sheetId="13"/>
      <sheetData sheetId="14"/>
      <sheetData sheetId="15">
        <row r="5">
          <cell r="AM5" t="str">
            <v>AA</v>
          </cell>
          <cell r="AN5" t="str">
            <v>AA</v>
          </cell>
        </row>
        <row r="6">
          <cell r="AM6" t="str">
            <v>BI</v>
          </cell>
          <cell r="AN6" t="str">
            <v>BI</v>
          </cell>
        </row>
        <row r="7">
          <cell r="AM7" t="str">
            <v>PP</v>
          </cell>
          <cell r="AN7" t="str">
            <v>PP</v>
          </cell>
        </row>
        <row r="8">
          <cell r="AM8" t="str">
            <v>WT</v>
          </cell>
          <cell r="AN8" t="str">
            <v>WT</v>
          </cell>
        </row>
        <row r="9">
          <cell r="AM9" t="str">
            <v>FT</v>
          </cell>
          <cell r="AN9" t="str">
            <v>BP</v>
          </cell>
        </row>
        <row r="10">
          <cell r="AM10" t="str">
            <v>FD</v>
          </cell>
          <cell r="AN10" t="str">
            <v>FD</v>
          </cell>
        </row>
        <row r="11">
          <cell r="AM11" t="str">
            <v>MP</v>
          </cell>
          <cell r="AN11" t="str">
            <v>GD</v>
          </cell>
        </row>
        <row r="12">
          <cell r="AM12" t="str">
            <v>PD</v>
          </cell>
          <cell r="AN12" t="str">
            <v>GP</v>
          </cell>
        </row>
        <row r="13">
          <cell r="AM13" t="str">
            <v>TU</v>
          </cell>
          <cell r="AN13" t="str">
            <v>LO</v>
          </cell>
        </row>
        <row r="14">
          <cell r="AN14" t="str">
            <v>MD</v>
          </cell>
        </row>
        <row r="15">
          <cell r="AN15" t="str">
            <v>OG</v>
          </cell>
        </row>
        <row r="16">
          <cell r="AN16" t="str">
            <v>PD</v>
          </cell>
        </row>
        <row r="17">
          <cell r="AN17" t="str">
            <v>TU</v>
          </cell>
        </row>
        <row r="18">
          <cell r="AN18" t="str">
            <v>CP</v>
          </cell>
        </row>
        <row r="19">
          <cell r="AN19" t="str">
            <v>FT</v>
          </cell>
        </row>
        <row r="20">
          <cell r="AN20" t="str">
            <v>MD</v>
          </cell>
        </row>
        <row r="21">
          <cell r="AN21" t="str">
            <v>DD</v>
          </cell>
        </row>
      </sheetData>
      <sheetData sheetId="16"/>
      <sheetData sheetId="17"/>
      <sheetData sheetId="18"/>
      <sheetData sheetId="19"/>
      <sheetData sheetId="20">
        <row r="114">
          <cell r="B114" t="str">
            <v>Andorra</v>
          </cell>
          <cell r="C114" t="str">
            <v>Southern Europe</v>
          </cell>
          <cell r="D114" t="str">
            <v>EEA</v>
          </cell>
        </row>
        <row r="115">
          <cell r="B115" t="str">
            <v>Austria</v>
          </cell>
          <cell r="C115" t="str">
            <v>Central Europe</v>
          </cell>
          <cell r="D115" t="str">
            <v>EEA</v>
          </cell>
        </row>
        <row r="116">
          <cell r="B116" t="str">
            <v>Belgium</v>
          </cell>
          <cell r="C116" t="str">
            <v>Central Europe</v>
          </cell>
          <cell r="D116" t="str">
            <v>EEA</v>
          </cell>
        </row>
        <row r="117">
          <cell r="B117" t="str">
            <v>Bulgaria</v>
          </cell>
          <cell r="C117" t="str">
            <v>South Eastern</v>
          </cell>
          <cell r="D117" t="str">
            <v>EEA</v>
          </cell>
        </row>
        <row r="118">
          <cell r="B118" t="str">
            <v>Cyprus</v>
          </cell>
          <cell r="C118" t="str">
            <v>South Eastern</v>
          </cell>
          <cell r="D118" t="str">
            <v>EEA</v>
          </cell>
        </row>
        <row r="119">
          <cell r="B119" t="str">
            <v>Croatia</v>
          </cell>
          <cell r="C119" t="str">
            <v>South Eastern</v>
          </cell>
          <cell r="D119" t="str">
            <v>EEA</v>
          </cell>
        </row>
        <row r="120">
          <cell r="B120" t="str">
            <v>Czech Republic</v>
          </cell>
          <cell r="C120" t="str">
            <v>Central Eastern Europe</v>
          </cell>
          <cell r="D120" t="str">
            <v>EEA</v>
          </cell>
        </row>
        <row r="121">
          <cell r="B121" t="str">
            <v>Denmark</v>
          </cell>
          <cell r="C121" t="str">
            <v>Nordics</v>
          </cell>
          <cell r="D121" t="str">
            <v>EEA</v>
          </cell>
        </row>
        <row r="122">
          <cell r="B122" t="str">
            <v>Estonia</v>
          </cell>
          <cell r="C122" t="str">
            <v>Nordics</v>
          </cell>
          <cell r="D122" t="str">
            <v>EEA</v>
          </cell>
        </row>
        <row r="123">
          <cell r="B123" t="str">
            <v>Finland</v>
          </cell>
          <cell r="C123" t="str">
            <v>Nordics</v>
          </cell>
          <cell r="D123" t="str">
            <v>EEA</v>
          </cell>
        </row>
        <row r="124">
          <cell r="B124" t="str">
            <v>France</v>
          </cell>
          <cell r="C124" t="str">
            <v>France</v>
          </cell>
          <cell r="D124" t="str">
            <v>EEA</v>
          </cell>
        </row>
        <row r="125">
          <cell r="B125" t="str">
            <v>Germany</v>
          </cell>
          <cell r="C125" t="str">
            <v>Central Europe</v>
          </cell>
          <cell r="D125" t="str">
            <v>EEA</v>
          </cell>
        </row>
        <row r="126">
          <cell r="B126" t="str">
            <v>Gibraltar</v>
          </cell>
          <cell r="C126" t="str">
            <v>UK + Eire</v>
          </cell>
          <cell r="D126" t="str">
            <v>EEA</v>
          </cell>
        </row>
        <row r="127">
          <cell r="B127" t="str">
            <v>Greece</v>
          </cell>
          <cell r="C127" t="str">
            <v>South Eastern</v>
          </cell>
          <cell r="D127" t="str">
            <v>EEA</v>
          </cell>
        </row>
        <row r="128">
          <cell r="B128" t="str">
            <v>Hungary</v>
          </cell>
          <cell r="C128" t="str">
            <v>Central Eastern Europe</v>
          </cell>
          <cell r="D128" t="str">
            <v>EEA</v>
          </cell>
        </row>
        <row r="129">
          <cell r="B129" t="str">
            <v>Iceland</v>
          </cell>
          <cell r="C129" t="str">
            <v>Nordics</v>
          </cell>
          <cell r="D129" t="str">
            <v>EEA</v>
          </cell>
        </row>
        <row r="130">
          <cell r="B130" t="str">
            <v>Ireland</v>
          </cell>
          <cell r="C130" t="str">
            <v>UK + Eire</v>
          </cell>
          <cell r="D130" t="str">
            <v>EEA</v>
          </cell>
        </row>
        <row r="131">
          <cell r="B131" t="str">
            <v>Israel</v>
          </cell>
          <cell r="C131" t="str">
            <v>South Eastern</v>
          </cell>
          <cell r="D131" t="str">
            <v>Israel</v>
          </cell>
        </row>
        <row r="132">
          <cell r="B132" t="str">
            <v>Italy</v>
          </cell>
          <cell r="C132" t="str">
            <v>Southern Europe</v>
          </cell>
          <cell r="D132" t="str">
            <v>EEA</v>
          </cell>
        </row>
        <row r="133">
          <cell r="B133" t="str">
            <v>Latvia</v>
          </cell>
          <cell r="C133" t="str">
            <v>Nordics</v>
          </cell>
          <cell r="D133" t="str">
            <v>EEA</v>
          </cell>
        </row>
        <row r="134">
          <cell r="B134" t="str">
            <v>Lithuania</v>
          </cell>
          <cell r="C134" t="str">
            <v>Nordics</v>
          </cell>
          <cell r="D134" t="str">
            <v>EEA</v>
          </cell>
        </row>
        <row r="135">
          <cell r="B135" t="str">
            <v>Luxembourg</v>
          </cell>
          <cell r="C135" t="str">
            <v>Central Europe</v>
          </cell>
          <cell r="D135" t="str">
            <v>EEA</v>
          </cell>
        </row>
        <row r="136">
          <cell r="B136" t="str">
            <v>Malta</v>
          </cell>
          <cell r="C136" t="str">
            <v>South Eastern</v>
          </cell>
          <cell r="D136" t="str">
            <v>EEA</v>
          </cell>
        </row>
        <row r="137">
          <cell r="B137" t="str">
            <v>Netherlands</v>
          </cell>
          <cell r="C137" t="str">
            <v>Central Europe</v>
          </cell>
          <cell r="D137" t="str">
            <v>EEA</v>
          </cell>
        </row>
        <row r="138">
          <cell r="B138" t="str">
            <v>Norway</v>
          </cell>
          <cell r="C138" t="str">
            <v>Nordics</v>
          </cell>
          <cell r="D138" t="str">
            <v>EEA</v>
          </cell>
        </row>
        <row r="139">
          <cell r="B139" t="str">
            <v>Poland</v>
          </cell>
          <cell r="C139" t="str">
            <v>Central Eastern Europe</v>
          </cell>
          <cell r="D139" t="str">
            <v>EEA</v>
          </cell>
        </row>
        <row r="140">
          <cell r="B140" t="str">
            <v>Portugal</v>
          </cell>
          <cell r="C140" t="str">
            <v>Southern Europe</v>
          </cell>
          <cell r="D140" t="str">
            <v>EEA</v>
          </cell>
        </row>
        <row r="141">
          <cell r="B141" t="str">
            <v>Romania</v>
          </cell>
          <cell r="C141" t="str">
            <v>South Eastern</v>
          </cell>
          <cell r="D141" t="str">
            <v>EEA</v>
          </cell>
        </row>
        <row r="142">
          <cell r="B142" t="str">
            <v>Slovakia</v>
          </cell>
          <cell r="C142" t="str">
            <v>Central Eastern Europe</v>
          </cell>
          <cell r="D142" t="str">
            <v>EEA</v>
          </cell>
        </row>
        <row r="143">
          <cell r="B143" t="str">
            <v>Slovenia</v>
          </cell>
          <cell r="C143" t="str">
            <v>South Eastern</v>
          </cell>
          <cell r="D143" t="str">
            <v>EEA</v>
          </cell>
        </row>
        <row r="144">
          <cell r="B144" t="str">
            <v>Spain</v>
          </cell>
          <cell r="C144" t="str">
            <v>Southern Europe</v>
          </cell>
          <cell r="D144" t="str">
            <v>EEA</v>
          </cell>
        </row>
        <row r="145">
          <cell r="B145" t="str">
            <v>Sweden</v>
          </cell>
          <cell r="C145" t="str">
            <v>Nordics</v>
          </cell>
          <cell r="D145" t="str">
            <v>EEA</v>
          </cell>
        </row>
        <row r="146">
          <cell r="B146" t="str">
            <v>Switzerland</v>
          </cell>
          <cell r="C146" t="str">
            <v>Central Europe</v>
          </cell>
          <cell r="D146" t="str">
            <v>Switzerland</v>
          </cell>
        </row>
        <row r="147">
          <cell r="B147" t="str">
            <v>Turkey</v>
          </cell>
          <cell r="C147" t="str">
            <v>South Eastern</v>
          </cell>
          <cell r="D147" t="str">
            <v>Turkey</v>
          </cell>
        </row>
        <row r="148">
          <cell r="B148" t="str">
            <v>UK</v>
          </cell>
          <cell r="C148" t="str">
            <v>UK + Eire</v>
          </cell>
          <cell r="D148" t="str">
            <v>UK</v>
          </cell>
        </row>
        <row r="149">
          <cell r="B149" t="str">
            <v>Vatican City State</v>
          </cell>
          <cell r="C149" t="str">
            <v>Southern Europe</v>
          </cell>
          <cell r="D149" t="str">
            <v>Microstate</v>
          </cell>
        </row>
        <row r="150">
          <cell r="B150" t="str">
            <v>VI VE</v>
          </cell>
          <cell r="C150" t="str">
            <v>Unallocated</v>
          </cell>
          <cell r="D150" t="e">
            <v>#N/A</v>
          </cell>
        </row>
        <row r="151">
          <cell r="B151" t="str">
            <v>VI Members</v>
          </cell>
          <cell r="C151" t="str">
            <v>Unallocated</v>
          </cell>
          <cell r="D151" t="e">
            <v>#N/A</v>
          </cell>
        </row>
        <row r="152">
          <cell r="B152" t="str">
            <v>Member (Not Applicable)</v>
          </cell>
          <cell r="C152" t="str">
            <v>Unallocated</v>
          </cell>
          <cell r="D152" t="e">
            <v>#N/A</v>
          </cell>
        </row>
        <row r="153">
          <cell r="B153" t="str">
            <v>VE Countries</v>
          </cell>
          <cell r="C153" t="str">
            <v>Unallocated</v>
          </cell>
          <cell r="D153" t="e">
            <v>#N/A</v>
          </cell>
        </row>
        <row r="154">
          <cell r="B154" t="str">
            <v>Default Member</v>
          </cell>
          <cell r="C154" t="str">
            <v>Unallocated</v>
          </cell>
          <cell r="D154" t="e">
            <v>#N/A</v>
          </cell>
        </row>
        <row r="155">
          <cell r="B155" t="str">
            <v>Liechtenstein</v>
          </cell>
          <cell r="C155" t="str">
            <v>Unallocated</v>
          </cell>
          <cell r="D155" t="str">
            <v>EEA</v>
          </cell>
        </row>
        <row r="156">
          <cell r="B156" t="str">
            <v>San Marino</v>
          </cell>
          <cell r="C156" t="str">
            <v>Unallocated</v>
          </cell>
          <cell r="D156" t="str">
            <v>Microstate</v>
          </cell>
        </row>
      </sheetData>
      <sheetData sheetId="21"/>
      <sheetData sheetId="22"/>
      <sheetData sheetId="23"/>
      <sheetData sheetId="24"/>
      <sheetData sheetId="25"/>
      <sheetData sheetId="26">
        <row r="12">
          <cell r="B12" t="str">
            <v>Country??</v>
          </cell>
          <cell r="C12" t="str">
            <v>Cluster</v>
          </cell>
        </row>
        <row r="13">
          <cell r="B13" t="str">
            <v>Andorra</v>
          </cell>
          <cell r="C13" t="str">
            <v>Southern Europe</v>
          </cell>
        </row>
        <row r="14">
          <cell r="B14" t="str">
            <v>Austria</v>
          </cell>
          <cell r="C14" t="str">
            <v>Central Europe</v>
          </cell>
        </row>
        <row r="15">
          <cell r="B15" t="str">
            <v>Belgium</v>
          </cell>
          <cell r="C15" t="str">
            <v>Central Europe</v>
          </cell>
        </row>
        <row r="16">
          <cell r="B16" t="str">
            <v>Bulgaria</v>
          </cell>
          <cell r="C16" t="str">
            <v>South Eastern</v>
          </cell>
        </row>
        <row r="17">
          <cell r="B17" t="str">
            <v>Cyprus</v>
          </cell>
          <cell r="C17" t="str">
            <v>South Eastern</v>
          </cell>
        </row>
        <row r="18">
          <cell r="B18" t="str">
            <v>Croatia</v>
          </cell>
          <cell r="C18" t="str">
            <v>South Eastern</v>
          </cell>
        </row>
        <row r="19">
          <cell r="B19" t="str">
            <v>Czech Republic</v>
          </cell>
          <cell r="C19" t="str">
            <v>Central Eastern Europe</v>
          </cell>
        </row>
        <row r="20">
          <cell r="B20" t="str">
            <v>Denmark</v>
          </cell>
          <cell r="C20" t="str">
            <v>Nordics</v>
          </cell>
        </row>
        <row r="21">
          <cell r="B21" t="str">
            <v>Estonia</v>
          </cell>
          <cell r="C21" t="str">
            <v>Nordics</v>
          </cell>
        </row>
        <row r="22">
          <cell r="B22" t="str">
            <v>Finland</v>
          </cell>
          <cell r="C22" t="str">
            <v>Nordics</v>
          </cell>
        </row>
        <row r="23">
          <cell r="B23" t="str">
            <v>France</v>
          </cell>
          <cell r="C23" t="str">
            <v>France</v>
          </cell>
        </row>
        <row r="24">
          <cell r="B24" t="str">
            <v>Germany</v>
          </cell>
          <cell r="C24" t="str">
            <v>Central Europe</v>
          </cell>
        </row>
        <row r="25">
          <cell r="B25" t="str">
            <v>Gibraltar</v>
          </cell>
          <cell r="C25" t="str">
            <v>UK + Eire</v>
          </cell>
        </row>
        <row r="26">
          <cell r="B26" t="str">
            <v>Greece</v>
          </cell>
          <cell r="C26" t="str">
            <v>South Eastern</v>
          </cell>
        </row>
        <row r="27">
          <cell r="B27" t="str">
            <v>Hungary</v>
          </cell>
          <cell r="C27" t="str">
            <v>Central Eastern Europe</v>
          </cell>
        </row>
        <row r="28">
          <cell r="B28" t="str">
            <v>Iceland</v>
          </cell>
          <cell r="C28" t="str">
            <v>Nordics</v>
          </cell>
        </row>
        <row r="29">
          <cell r="B29" t="str">
            <v>Ireland</v>
          </cell>
          <cell r="C29" t="str">
            <v>UK + Eire</v>
          </cell>
        </row>
        <row r="30">
          <cell r="B30" t="str">
            <v>Israel</v>
          </cell>
          <cell r="C30" t="str">
            <v>South Eastern</v>
          </cell>
        </row>
        <row r="31">
          <cell r="B31" t="str">
            <v>Italy</v>
          </cell>
          <cell r="C31" t="str">
            <v>Southern Europe</v>
          </cell>
        </row>
        <row r="32">
          <cell r="B32" t="str">
            <v>Latvia</v>
          </cell>
          <cell r="C32" t="str">
            <v>Nordics</v>
          </cell>
        </row>
        <row r="33">
          <cell r="B33" t="str">
            <v>Lithuania</v>
          </cell>
          <cell r="C33" t="str">
            <v>Nordics</v>
          </cell>
        </row>
        <row r="34">
          <cell r="B34" t="str">
            <v>Luxembourg</v>
          </cell>
          <cell r="C34" t="str">
            <v>Central Europe</v>
          </cell>
        </row>
        <row r="35">
          <cell r="B35" t="str">
            <v>Malta</v>
          </cell>
          <cell r="C35" t="str">
            <v>South Eastern</v>
          </cell>
        </row>
        <row r="36">
          <cell r="B36" t="str">
            <v>Netherlands</v>
          </cell>
          <cell r="C36" t="str">
            <v>Central Europe</v>
          </cell>
        </row>
        <row r="37">
          <cell r="B37" t="str">
            <v>Norway</v>
          </cell>
          <cell r="C37" t="str">
            <v>Nordics</v>
          </cell>
        </row>
        <row r="38">
          <cell r="B38" t="str">
            <v>Poland</v>
          </cell>
          <cell r="C38" t="str">
            <v>Central Eastern Europe</v>
          </cell>
        </row>
        <row r="39">
          <cell r="B39" t="str">
            <v>Portugal</v>
          </cell>
          <cell r="C39" t="str">
            <v>Southern Europe</v>
          </cell>
        </row>
        <row r="40">
          <cell r="B40" t="str">
            <v>Romania</v>
          </cell>
          <cell r="C40" t="str">
            <v>South Eastern</v>
          </cell>
        </row>
        <row r="41">
          <cell r="B41" t="str">
            <v>Slovakia</v>
          </cell>
          <cell r="C41" t="str">
            <v>Central Eastern Europe</v>
          </cell>
        </row>
        <row r="42">
          <cell r="B42" t="str">
            <v>Slovenia</v>
          </cell>
          <cell r="C42" t="str">
            <v>South Eastern</v>
          </cell>
        </row>
        <row r="43">
          <cell r="B43" t="str">
            <v>Spain</v>
          </cell>
          <cell r="C43" t="str">
            <v>Southern Europe</v>
          </cell>
        </row>
        <row r="44">
          <cell r="B44" t="str">
            <v>Sweden</v>
          </cell>
          <cell r="C44" t="str">
            <v>Nordics</v>
          </cell>
        </row>
        <row r="45">
          <cell r="B45" t="str">
            <v>Switzerland</v>
          </cell>
          <cell r="C45" t="str">
            <v>Central Europe</v>
          </cell>
        </row>
        <row r="46">
          <cell r="B46" t="str">
            <v>Turkey</v>
          </cell>
          <cell r="C46" t="str">
            <v>South Eastern</v>
          </cell>
        </row>
        <row r="47">
          <cell r="B47" t="str">
            <v>UK</v>
          </cell>
          <cell r="C47" t="str">
            <v>UK + Eire</v>
          </cell>
        </row>
        <row r="48">
          <cell r="B48" t="str">
            <v>Vatican City State</v>
          </cell>
          <cell r="C48" t="str">
            <v>Southern Europe</v>
          </cell>
        </row>
        <row r="49">
          <cell r="B49" t="str">
            <v>VI VE</v>
          </cell>
          <cell r="C49" t="str">
            <v>Unallocated</v>
          </cell>
        </row>
        <row r="50">
          <cell r="B50" t="str">
            <v>VI Members</v>
          </cell>
          <cell r="C50" t="str">
            <v>Unallocated</v>
          </cell>
        </row>
        <row r="51">
          <cell r="B51" t="str">
            <v>Member (Not Applicable)</v>
          </cell>
          <cell r="C51" t="str">
            <v>Unallocated</v>
          </cell>
        </row>
        <row r="52">
          <cell r="B52" t="str">
            <v>VE Countries</v>
          </cell>
          <cell r="C52" t="str">
            <v>Unallocated</v>
          </cell>
        </row>
        <row r="53">
          <cell r="B53" t="str">
            <v>Default Member</v>
          </cell>
          <cell r="C53" t="str">
            <v>Unallocated</v>
          </cell>
        </row>
        <row r="54">
          <cell r="B54" t="str">
            <v>Liechtenstein</v>
          </cell>
          <cell r="C54" t="str">
            <v>Unallocated</v>
          </cell>
        </row>
        <row r="55">
          <cell r="B55" t="str">
            <v>San Marino</v>
          </cell>
          <cell r="C55" t="str">
            <v>Unallocated</v>
          </cell>
        </row>
      </sheetData>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CoverSheet"/>
      <sheetName val="ChangeControl"/>
      <sheetName val="1a) Deal Overview"/>
      <sheetName val="1b) Forecast Inputs "/>
      <sheetName val="1c) Manual adj."/>
      <sheetName val="1d) IntraSplit"/>
      <sheetName val="1e) Inter Acq. Fees"/>
      <sheetName val="2a) EB GOA"/>
      <sheetName val="2b) EB Hyp. Group"/>
      <sheetName val="2c) EB Hyp. Member"/>
      <sheetName val="VAS &amp; Other"/>
      <sheetName val="MSD inputs"/>
      <sheetName val="3a) Modeller inputs"/>
      <sheetName val="4a) Cons Dr €"/>
      <sheetName val="4b) Cons Pre €"/>
      <sheetName val="4c) Cons Cr €"/>
      <sheetName val="4d) Cons Def €"/>
      <sheetName val="4e) Comm Dr €"/>
      <sheetName val="4f) Comm Pre €"/>
      <sheetName val="4g) Comm Cr €"/>
      <sheetName val="4h) Comm Def €"/>
      <sheetName val="4i) VPAY €"/>
      <sheetName val="4j) Product IDX €"/>
      <sheetName val="4k) Product TOTAL €"/>
      <sheetName val="4L) Summary TOTAL €"/>
      <sheetName val="4m) FY Summary TOTAL €"/>
      <sheetName val="5a) Approval Matrix"/>
      <sheetName val="€ EDR&gt;&gt;"/>
      <sheetName val="CoverPage"/>
      <sheetName val="€ ReadAcross"/>
      <sheetName val="€ Offer Highlights"/>
      <sheetName val="€ Amort. P&amp;L Most Likely"/>
      <sheetName val="€ Offer Summary"/>
      <sheetName val="Net Comp Detail"/>
      <sheetName val="€ AANR Quadrant"/>
      <sheetName val="Net Comp Summary"/>
      <sheetName val="MI Database Template"/>
      <sheetName val="Contract Schedules &gt;"/>
      <sheetName val="Scheme - Section 1"/>
      <sheetName val="Scheme- Section 2"/>
      <sheetName val="Inter - Section 1"/>
      <sheetName val="Inter - Section 2"/>
      <sheetName val="Total CEV Comm-Section 1"/>
      <sheetName val="Total CEV Comm- Section 2"/>
      <sheetName val="Processing "/>
      <sheetName val="GPIC € to $&gt;&gt;"/>
      <sheetName val="P&amp;L - updated"/>
      <sheetName val="Additional VAS"/>
      <sheetName val="Highlights &amp; Metrics"/>
      <sheetName val="Opp Overview"/>
      <sheetName val="NR overview"/>
      <sheetName val="GPIC Offer Highlights "/>
      <sheetName val="GPIC Offer Summary"/>
      <sheetName val="GPIC Amort. P&amp;L Most Likely"/>
      <sheetName val="GPIC ReadAcross"/>
      <sheetName val="GPIC AANR Quadrant"/>
      <sheetName val="GPIC VIK "/>
      <sheetName val="GPIC ETR"/>
      <sheetName val="Global Europe"/>
      <sheetName val="GDT P&amp;L Submission"/>
      <sheetName val="Other Revenue"/>
      <sheetName val="Enhanced Revenue"/>
      <sheetName val="LC CIA &gt;&gt;"/>
      <sheetName val="LC Summary TOTAL "/>
      <sheetName val="LC FY Summary TOTAL "/>
      <sheetName val="LC Amort. P&amp;L Most Likely "/>
      <sheetName val="LC Offer Highlights "/>
      <sheetName val="LC Offer Summary"/>
      <sheetName val="LC ReadAcross"/>
      <sheetName val="LC Cons Debit Read Only"/>
      <sheetName val="LC Cons Prep Read Only "/>
      <sheetName val="LC Cons Credit Read Only "/>
      <sheetName val="LC Cons Def Read Only"/>
      <sheetName val="LC Com Deb Read Only"/>
      <sheetName val="LC Com Cre Read Only"/>
      <sheetName val="LC Com Prep Read Only"/>
      <sheetName val="LC Com def Read Only"/>
      <sheetName val="LC VPAY Read Only"/>
      <sheetName val="LC Product IDX Read Only"/>
      <sheetName val="LC Product total Read Only"/>
      <sheetName val="LC AANR Quadrant "/>
      <sheetName val="Fee drivers&gt;&gt; "/>
      <sheetName val="Acquirer FEE Discount Sheet"/>
      <sheetName val="Ref1.Issuer Fee Tables &amp; Calcs"/>
      <sheetName val="Ref2.Europe Acquirer Fees"/>
      <sheetName val="Ref3.IMD +NLCS fee Rates "/>
      <sheetName val="ref4.Int'l Acquiring Fees Data"/>
      <sheetName val="Intra Merchant volumes + calcs"/>
      <sheetName val="IIAB_SS"/>
      <sheetName val="Marker"/>
      <sheetName val="Summary"/>
      <sheetName val="Instructions"/>
      <sheetName val="Step 1--&gt;"/>
      <sheetName val="1a.Deal Overview"/>
      <sheetName val="Step 2--&gt;"/>
      <sheetName val="Consumer Debit"/>
      <sheetName val="Consumer Prepaid"/>
      <sheetName val="Consumer Credit"/>
      <sheetName val="Consumer Deferred Debit"/>
      <sheetName val="Commercial Debit"/>
      <sheetName val="Commercial Prepaid"/>
      <sheetName val="Commercial Credit"/>
      <sheetName val="Commercial Deferred Debit"/>
      <sheetName val="VPAY"/>
      <sheetName val="CheckSummaryS1&amp;S2"/>
      <sheetName val="Step 3 --&gt;"/>
      <sheetName val="Current Deal"/>
      <sheetName val="Deal Structure"/>
      <sheetName val="Deal Str (Performance table)"/>
      <sheetName val="Deal Str (Migration table)"/>
      <sheetName val="Deal Str (Memb waiver table)"/>
      <sheetName val="Deal Str (VTO)"/>
      <sheetName val="Mapping &amp; Conditions"/>
      <sheetName val="CheckSummaryS3"/>
      <sheetName val="Reports-&gt; "/>
      <sheetName val="IIAB Assessment &amp; Cover Sheet"/>
      <sheetName val="IIAB Cash P&amp;L_EUR"/>
      <sheetName val="Graphs&amp;Tables"/>
      <sheetName val="IIAB Cash P&amp;L_LC"/>
      <sheetName val="Sign off--&gt;"/>
      <sheetName val="Reference --&gt;"/>
      <sheetName val="Stats"/>
      <sheetName val="Processing EB"/>
      <sheetName val="Glossary&amp;Metric def"/>
      <sheetName val="1b.Forecast Inputs"/>
      <sheetName val="ISMaker User Guide"/>
      <sheetName val="GBI Mismatch Flag"/>
      <sheetName val="IIAB_table_for_reference"/>
      <sheetName val="Contract Sch--&gt;"/>
      <sheetName val="Product IDX"/>
      <sheetName val="Other&gt;&gt;"/>
      <sheetName val="Market Legal Tiering"/>
      <sheetName val="DEF1Approval Matrix"/>
      <sheetName val="GARP"/>
      <sheetName val="RevenueDriverAnalysis€"/>
      <sheetName val="VTO PROCESS CSTARIFF"/>
      <sheetName val="VTO PROCESS AUTHTARIFF"/>
      <sheetName val="Country Codes"/>
      <sheetName val="PAN EU and Strategic Clients"/>
      <sheetName val="PV Split by Market"/>
      <sheetName val="Country average calc"/>
      <sheetName val="CnP Tranx % by Market"/>
      <sheetName val="Contract_T&amp;C"/>
      <sheetName val="Process"/>
      <sheetName val="Key definitions&gt;&gt;"/>
      <sheetName val="DEFINITION"/>
      <sheetName val="Pricing Assumptions"/>
      <sheetName val="Data pulls&gt;&gt;"/>
      <sheetName val="Interbasedata"/>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isa.highspot.com/items/64b7ed7e2b4f9c04ea94b456" TargetMode="External"/><Relationship Id="rId2" Type="http://schemas.openxmlformats.org/officeDocument/2006/relationships/hyperlink" Target="https://visa.highspot.com/items/64b7ed48d004140237384d7a" TargetMode="External"/><Relationship Id="rId1" Type="http://schemas.openxmlformats.org/officeDocument/2006/relationships/hyperlink" Target="file:///C:\Users\smitj\:f:\r\sites\VDWPricingTemplateGroup\Shared%20Documents\AE%20Intake%20Form%20(VDC)"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041E-85F2-42C5-BC69-87A017CED517}">
  <sheetPr codeName="Sheet2"/>
  <dimension ref="A1:R31"/>
  <sheetViews>
    <sheetView showGridLines="0" tabSelected="1" zoomScale="70" zoomScaleNormal="70" workbookViewId="0">
      <selection activeCell="P6" sqref="P6"/>
    </sheetView>
  </sheetViews>
  <sheetFormatPr defaultColWidth="8.77734375" defaultRowHeight="14.4" outlineLevelRow="1" x14ac:dyDescent="0.3"/>
  <cols>
    <col min="1" max="1" width="3.77734375" style="1" customWidth="1"/>
    <col min="2" max="2" width="18" style="1" customWidth="1"/>
    <col min="3" max="3" width="19.77734375" style="1" customWidth="1"/>
    <col min="4" max="4" width="18" style="1" customWidth="1"/>
    <col min="5" max="5" width="19.77734375" style="1" customWidth="1"/>
    <col min="6" max="9" width="18" style="1" customWidth="1"/>
    <col min="10" max="10" width="2.5546875" style="1" customWidth="1"/>
    <col min="11" max="12" width="15.77734375" style="1" customWidth="1"/>
    <col min="13" max="13" width="0.77734375" style="1" customWidth="1"/>
    <col min="14" max="14" width="30.77734375" style="1" customWidth="1"/>
    <col min="15" max="15" width="24.21875" style="1" customWidth="1"/>
    <col min="16" max="16384" width="8.77734375" style="1"/>
  </cols>
  <sheetData>
    <row r="1" spans="1:18" ht="15" thickBot="1" x14ac:dyDescent="0.35">
      <c r="A1" s="1" t="s">
        <v>0</v>
      </c>
      <c r="C1" s="1" t="str">
        <f>'[1]Change Control'!C13</f>
        <v>vMar25</v>
      </c>
    </row>
    <row r="2" spans="1:18" ht="32.700000000000003" customHeight="1" thickBot="1" x14ac:dyDescent="0.4">
      <c r="B2" s="2" t="s">
        <v>1</v>
      </c>
      <c r="C2" s="3"/>
      <c r="D2" s="4" t="s">
        <v>2</v>
      </c>
      <c r="E2" s="5" t="s">
        <v>3</v>
      </c>
      <c r="F2" s="6" t="s">
        <v>4</v>
      </c>
      <c r="G2" s="5" t="s">
        <v>5</v>
      </c>
      <c r="H2" s="6" t="s">
        <v>6</v>
      </c>
      <c r="I2" s="7" t="s">
        <v>7</v>
      </c>
      <c r="K2" s="8" t="s">
        <v>8</v>
      </c>
      <c r="L2" s="9"/>
      <c r="M2" s="10"/>
      <c r="N2" s="8" t="s">
        <v>9</v>
      </c>
      <c r="O2" s="11"/>
    </row>
    <row r="3" spans="1:18" ht="32.700000000000003" customHeight="1" thickBot="1" x14ac:dyDescent="0.4">
      <c r="B3" s="12" t="s">
        <v>10</v>
      </c>
      <c r="C3" s="5" t="s">
        <v>11</v>
      </c>
      <c r="D3" s="13" t="s">
        <v>12</v>
      </c>
      <c r="E3" s="5" t="s">
        <v>13</v>
      </c>
      <c r="F3" s="14" t="s">
        <v>14</v>
      </c>
      <c r="G3" s="14" t="str">
        <f>IFERROR(VLOOKUP($E$3,'[1]Deals Database'!$B$12:$C$60,2,0),"")</f>
        <v>Central Europe</v>
      </c>
      <c r="H3" s="15" t="s">
        <v>15</v>
      </c>
      <c r="I3" s="5" t="s">
        <v>16</v>
      </c>
      <c r="K3" s="16"/>
      <c r="L3" s="17"/>
      <c r="M3" s="10"/>
      <c r="N3" s="18"/>
      <c r="O3" s="19"/>
    </row>
    <row r="4" spans="1:18" s="25" customFormat="1" ht="15" thickBot="1" x14ac:dyDescent="0.35">
      <c r="A4" s="20"/>
      <c r="B4" s="21"/>
      <c r="C4" s="22"/>
      <c r="D4" s="23"/>
      <c r="E4" s="23"/>
      <c r="F4" s="23"/>
      <c r="G4" s="23"/>
      <c r="H4" s="23"/>
      <c r="I4" s="24"/>
    </row>
    <row r="5" spans="1:18" s="25" customFormat="1" ht="57.75" customHeight="1" thickBot="1" x14ac:dyDescent="0.35">
      <c r="A5" s="20"/>
      <c r="B5" s="26" t="s">
        <v>17</v>
      </c>
      <c r="C5" s="27"/>
      <c r="D5" s="27"/>
      <c r="E5" s="27"/>
      <c r="F5" s="27"/>
      <c r="G5" s="27"/>
      <c r="H5" s="27"/>
      <c r="I5" s="28"/>
      <c r="K5" s="29" t="s">
        <v>18</v>
      </c>
      <c r="L5" s="30" t="str">
        <f>IF(COUNTIF($L$7:$L$15,"No")&gt;0,"No","Yes")</f>
        <v>Yes</v>
      </c>
      <c r="N5" s="31"/>
      <c r="O5" s="32"/>
    </row>
    <row r="6" spans="1:18" s="25" customFormat="1" ht="14.7" customHeight="1" thickBot="1" x14ac:dyDescent="0.35">
      <c r="A6" s="20"/>
      <c r="B6" s="33" t="s">
        <v>19</v>
      </c>
      <c r="C6" s="34"/>
      <c r="D6" s="34"/>
      <c r="E6" s="34"/>
      <c r="F6" s="34"/>
      <c r="G6" s="34"/>
      <c r="H6" s="34"/>
      <c r="I6" s="35"/>
      <c r="K6" s="36"/>
      <c r="L6" s="36"/>
    </row>
    <row r="7" spans="1:18" s="25" customFormat="1" ht="57.75" customHeight="1" thickBot="1" x14ac:dyDescent="0.35">
      <c r="A7" s="20"/>
      <c r="B7" s="26" t="s">
        <v>20</v>
      </c>
      <c r="C7" s="37"/>
      <c r="D7" s="37"/>
      <c r="E7" s="37"/>
      <c r="F7" s="37"/>
      <c r="G7" s="37"/>
      <c r="H7" s="37"/>
      <c r="I7" s="38"/>
      <c r="K7" s="29" t="s">
        <v>21</v>
      </c>
      <c r="L7" s="30" t="str">
        <f>IF(-SUM('P&amp;L'!Q34:Q35)*Inputs!$O$1&lt;=250000,"Yes","No")</f>
        <v>Yes</v>
      </c>
      <c r="N7" s="31"/>
      <c r="O7" s="32"/>
    </row>
    <row r="8" spans="1:18" s="25" customFormat="1" ht="25.5" customHeight="1" thickBot="1" x14ac:dyDescent="0.35">
      <c r="A8" s="20"/>
      <c r="B8" s="33" t="s">
        <v>22</v>
      </c>
      <c r="C8" s="34">
        <v>0</v>
      </c>
      <c r="D8" s="34">
        <v>0</v>
      </c>
      <c r="E8" s="34">
        <v>0</v>
      </c>
      <c r="F8" s="34">
        <v>0</v>
      </c>
      <c r="G8" s="34">
        <v>0</v>
      </c>
      <c r="H8" s="34">
        <v>0</v>
      </c>
      <c r="I8" s="35">
        <v>0</v>
      </c>
      <c r="K8" s="36"/>
      <c r="L8" s="36"/>
    </row>
    <row r="9" spans="1:18" s="25" customFormat="1" ht="57.75" customHeight="1" thickBot="1" x14ac:dyDescent="0.35">
      <c r="A9" s="20"/>
      <c r="B9" s="26" t="s">
        <v>23</v>
      </c>
      <c r="C9" s="37"/>
      <c r="D9" s="37"/>
      <c r="E9" s="37"/>
      <c r="F9" s="37"/>
      <c r="G9" s="37"/>
      <c r="H9" s="37"/>
      <c r="I9" s="38"/>
      <c r="K9" s="29" t="s">
        <v>24</v>
      </c>
      <c r="L9" s="30" t="str">
        <f>IF(OR(SUM('P&amp;L'!G38:I38)&lt;=0,SUM('P&amp;L'!G75:I75)&lt;1),"Yes","No")</f>
        <v>Yes</v>
      </c>
      <c r="N9" s="31"/>
      <c r="O9" s="32"/>
      <c r="Q9" s="39" t="str">
        <f>IF('P&amp;L'!I49&gt;=0,"Yes","No")</f>
        <v>Yes</v>
      </c>
      <c r="R9" s="39"/>
    </row>
    <row r="10" spans="1:18" s="25" customFormat="1" ht="23.25" customHeight="1" thickBot="1" x14ac:dyDescent="0.35">
      <c r="A10" s="20"/>
      <c r="B10" s="33" t="s">
        <v>25</v>
      </c>
      <c r="C10" s="23">
        <v>0</v>
      </c>
      <c r="D10" s="23">
        <v>0</v>
      </c>
      <c r="E10" s="23">
        <v>0</v>
      </c>
      <c r="F10" s="23">
        <v>0</v>
      </c>
      <c r="G10" s="23">
        <v>0</v>
      </c>
      <c r="H10" s="23">
        <v>0</v>
      </c>
      <c r="I10" s="24">
        <v>0</v>
      </c>
      <c r="K10" s="36"/>
      <c r="L10" s="36"/>
    </row>
    <row r="11" spans="1:18" s="25" customFormat="1" ht="57.75" customHeight="1" thickBot="1" x14ac:dyDescent="0.35">
      <c r="A11" s="20"/>
      <c r="B11" s="26" t="s">
        <v>26</v>
      </c>
      <c r="C11" s="37"/>
      <c r="D11" s="37"/>
      <c r="E11" s="37"/>
      <c r="F11" s="37"/>
      <c r="G11" s="37"/>
      <c r="H11" s="37"/>
      <c r="I11" s="38"/>
      <c r="K11" s="29" t="s">
        <v>27</v>
      </c>
      <c r="L11" s="30" t="str">
        <f>IF(-'P&amp;L'!C29&lt;=35%,"Yes","No")</f>
        <v>Yes</v>
      </c>
      <c r="N11" s="31"/>
      <c r="O11" s="32"/>
    </row>
    <row r="12" spans="1:18" s="25" customFormat="1" ht="14.7" customHeight="1" thickBot="1" x14ac:dyDescent="0.35">
      <c r="A12" s="20"/>
      <c r="B12" s="33" t="s">
        <v>28</v>
      </c>
      <c r="C12" s="23"/>
      <c r="D12" s="23"/>
      <c r="E12" s="23"/>
      <c r="F12" s="23"/>
      <c r="G12" s="23"/>
      <c r="H12" s="23"/>
      <c r="I12" s="24"/>
      <c r="K12" s="36"/>
      <c r="L12" s="36"/>
    </row>
    <row r="13" spans="1:18" s="25" customFormat="1" ht="57.75" customHeight="1" thickBot="1" x14ac:dyDescent="0.35">
      <c r="A13" s="20"/>
      <c r="B13" s="26" t="s">
        <v>29</v>
      </c>
      <c r="C13" s="37"/>
      <c r="D13" s="37"/>
      <c r="E13" s="37"/>
      <c r="F13" s="37"/>
      <c r="G13" s="37"/>
      <c r="H13" s="37"/>
      <c r="I13" s="38"/>
      <c r="K13" s="29" t="s">
        <v>30</v>
      </c>
      <c r="L13" s="30" t="str">
        <f>IF(-('P&amp;L'!Q33-'P&amp;L'!Q39)&lt;10000000/Inputs!O1,"Yes","No")</f>
        <v>Yes</v>
      </c>
      <c r="N13" s="40" t="s">
        <v>31</v>
      </c>
      <c r="O13" s="41"/>
    </row>
    <row r="14" spans="1:18" s="25" customFormat="1" ht="24" customHeight="1" thickBot="1" x14ac:dyDescent="0.35">
      <c r="A14" s="20"/>
      <c r="B14" s="33" t="s">
        <v>32</v>
      </c>
      <c r="C14" s="34">
        <v>0</v>
      </c>
      <c r="D14" s="34">
        <v>0</v>
      </c>
      <c r="E14" s="34">
        <v>0</v>
      </c>
      <c r="F14" s="34">
        <v>0</v>
      </c>
      <c r="G14" s="34">
        <v>0</v>
      </c>
      <c r="H14" s="34">
        <v>0</v>
      </c>
      <c r="I14" s="35">
        <v>0</v>
      </c>
      <c r="K14" s="36"/>
      <c r="L14" s="36"/>
    </row>
    <row r="15" spans="1:18" s="25" customFormat="1" ht="57.75" customHeight="1" thickBot="1" x14ac:dyDescent="0.35">
      <c r="A15" s="20"/>
      <c r="B15" s="42" t="s">
        <v>33</v>
      </c>
      <c r="C15" s="43"/>
      <c r="D15" s="43"/>
      <c r="E15" s="43"/>
      <c r="F15" s="43"/>
      <c r="G15" s="43"/>
      <c r="H15" s="43"/>
      <c r="I15" s="44"/>
      <c r="K15" s="29" t="s">
        <v>34</v>
      </c>
      <c r="L15" s="30" t="str">
        <f>IF(-'P&amp;L'!Q34&lt;=-SUM('P&amp;L'!Q34:Q38)*0.25,"Yes","No")</f>
        <v>Yes</v>
      </c>
      <c r="N15" s="31"/>
      <c r="O15" s="32"/>
    </row>
    <row r="16" spans="1:18" ht="15" thickBot="1" x14ac:dyDescent="0.35">
      <c r="L16" s="45"/>
    </row>
    <row r="17" spans="2:15" ht="17.7" customHeight="1" thickBot="1" x14ac:dyDescent="0.35">
      <c r="B17" s="46" t="s">
        <v>35</v>
      </c>
      <c r="C17" s="47"/>
      <c r="D17" s="48"/>
      <c r="F17" s="49" t="s">
        <v>36</v>
      </c>
      <c r="G17" s="50"/>
      <c r="H17" s="51"/>
      <c r="K17" s="49" t="s">
        <v>37</v>
      </c>
      <c r="L17" s="50"/>
      <c r="M17" s="52"/>
      <c r="N17" s="53"/>
    </row>
    <row r="18" spans="2:15" ht="17.7" customHeight="1" x14ac:dyDescent="0.3">
      <c r="B18" s="54" t="s">
        <v>38</v>
      </c>
      <c r="C18" s="55"/>
      <c r="D18" s="56">
        <v>5</v>
      </c>
      <c r="E18" s="57" t="str">
        <f>IF(D18="","Mandatory","")</f>
        <v/>
      </c>
      <c r="F18" s="58" t="s">
        <v>39</v>
      </c>
      <c r="G18" s="53"/>
      <c r="H18" s="59" t="s">
        <v>40</v>
      </c>
      <c r="K18" s="54" t="s">
        <v>41</v>
      </c>
      <c r="L18" s="55"/>
      <c r="M18" s="54"/>
      <c r="N18" s="60" t="s">
        <v>42</v>
      </c>
    </row>
    <row r="19" spans="2:15" ht="17.7" customHeight="1" x14ac:dyDescent="0.3">
      <c r="B19" s="61" t="s">
        <v>43</v>
      </c>
      <c r="C19" s="62"/>
      <c r="D19" s="63" t="s">
        <v>44</v>
      </c>
      <c r="F19" s="64" t="s">
        <v>45</v>
      </c>
      <c r="G19" s="65"/>
      <c r="H19" s="66" t="s">
        <v>46</v>
      </c>
      <c r="K19" s="61" t="s">
        <v>47</v>
      </c>
      <c r="L19" s="62"/>
      <c r="M19" s="61"/>
      <c r="N19" s="67" t="s">
        <v>44</v>
      </c>
    </row>
    <row r="20" spans="2:15" ht="17.7" customHeight="1" x14ac:dyDescent="0.3">
      <c r="B20" s="61" t="s">
        <v>48</v>
      </c>
      <c r="C20" s="62"/>
      <c r="D20" s="68">
        <v>47939</v>
      </c>
      <c r="E20" s="1" t="s">
        <v>49</v>
      </c>
      <c r="F20" s="64" t="s">
        <v>50</v>
      </c>
      <c r="G20" s="65"/>
      <c r="H20" s="66"/>
      <c r="K20" s="61" t="s">
        <v>51</v>
      </c>
      <c r="L20" s="62"/>
      <c r="M20" s="61"/>
      <c r="N20" s="67" t="s">
        <v>52</v>
      </c>
    </row>
    <row r="21" spans="2:15" ht="17.7" customHeight="1" x14ac:dyDescent="0.3">
      <c r="B21" s="61" t="s">
        <v>53</v>
      </c>
      <c r="C21" s="62"/>
      <c r="D21" s="68">
        <v>46296</v>
      </c>
      <c r="E21" s="57" t="str">
        <f>IF(D21="","Mandatory","")</f>
        <v/>
      </c>
      <c r="F21" s="64" t="s">
        <v>54</v>
      </c>
      <c r="G21" s="65"/>
      <c r="H21" s="66"/>
      <c r="K21" s="61" t="s">
        <v>55</v>
      </c>
      <c r="L21" s="62"/>
      <c r="M21" s="61"/>
      <c r="N21" s="69">
        <f>1589453921.49/1.1734</f>
        <v>1354571264.2662349</v>
      </c>
      <c r="O21" s="70" t="s">
        <v>56</v>
      </c>
    </row>
    <row r="22" spans="2:15" ht="17.7" customHeight="1" x14ac:dyDescent="0.3">
      <c r="B22" s="71" t="s">
        <v>57</v>
      </c>
      <c r="C22" s="72"/>
      <c r="D22" s="73">
        <f>IFERROR(EOMONTH(D21-1,'P&amp;L'!C15*12),"")</f>
        <v>48121</v>
      </c>
      <c r="F22" s="64" t="s">
        <v>58</v>
      </c>
      <c r="G22" s="65"/>
      <c r="H22" s="74" t="str">
        <f>I3</f>
        <v>FY26_331</v>
      </c>
      <c r="K22" s="61" t="s">
        <v>59</v>
      </c>
      <c r="L22" s="62"/>
      <c r="M22" s="61"/>
      <c r="N22" s="75">
        <v>33724526</v>
      </c>
    </row>
    <row r="23" spans="2:15" ht="17.7" customHeight="1" thickBot="1" x14ac:dyDescent="0.35">
      <c r="B23" s="76" t="s">
        <v>60</v>
      </c>
      <c r="C23" s="77"/>
      <c r="D23" s="78">
        <v>0</v>
      </c>
      <c r="F23" s="79" t="s">
        <v>61</v>
      </c>
      <c r="G23" s="80"/>
      <c r="H23" s="81" t="s">
        <v>62</v>
      </c>
      <c r="K23" s="61" t="s">
        <v>63</v>
      </c>
      <c r="L23" s="62"/>
      <c r="M23" s="61"/>
      <c r="N23" s="82">
        <f>2934104084.81/1.1734</f>
        <v>2500514815.7576275</v>
      </c>
      <c r="O23" s="1" t="s">
        <v>64</v>
      </c>
    </row>
    <row r="24" spans="2:15" ht="17.7" customHeight="1" thickBot="1" x14ac:dyDescent="0.35">
      <c r="B24" s="83"/>
      <c r="C24" s="83"/>
      <c r="D24" s="84"/>
      <c r="K24" s="76" t="s">
        <v>65</v>
      </c>
      <c r="L24" s="77"/>
      <c r="M24" s="76"/>
      <c r="N24" s="85" t="s">
        <v>66</v>
      </c>
    </row>
    <row r="25" spans="2:15" hidden="1" outlineLevel="1" x14ac:dyDescent="0.3">
      <c r="B25" s="86" t="s">
        <v>67</v>
      </c>
      <c r="C25" s="87"/>
      <c r="D25" s="88" t="str">
        <f>E2</f>
        <v>OPP-000989103</v>
      </c>
      <c r="F25" s="64"/>
      <c r="G25" s="65"/>
      <c r="H25" s="66"/>
    </row>
    <row r="26" spans="2:15" ht="15" hidden="1" outlineLevel="1" thickBot="1" x14ac:dyDescent="0.35">
      <c r="B26" s="89" t="s">
        <v>68</v>
      </c>
      <c r="C26" s="90"/>
      <c r="D26" s="91" t="str">
        <f>Intro!E3</f>
        <v>Austria</v>
      </c>
      <c r="F26" s="64"/>
      <c r="G26" s="65"/>
      <c r="H26" s="66"/>
    </row>
    <row r="27" spans="2:15" collapsed="1" x14ac:dyDescent="0.3"/>
    <row r="29" spans="2:15" x14ac:dyDescent="0.3">
      <c r="B29" s="1" t="s">
        <v>69</v>
      </c>
      <c r="E29" s="92" t="s">
        <v>70</v>
      </c>
    </row>
    <row r="30" spans="2:15" x14ac:dyDescent="0.3">
      <c r="B30" s="1" t="s">
        <v>71</v>
      </c>
      <c r="E30" s="92" t="s">
        <v>72</v>
      </c>
    </row>
    <row r="31" spans="2:15" x14ac:dyDescent="0.3">
      <c r="B31" s="1" t="s">
        <v>73</v>
      </c>
      <c r="E31" s="92" t="s">
        <v>74</v>
      </c>
    </row>
  </sheetData>
  <sheetProtection algorithmName="SHA-512" hashValue="1eA2GKYX1cs9NbWPz7vk58OgyBCbKWjY1OoBoAXs87gzl+PF/Dni44WTjMyjFAxo/yNEnrks0EfLJIDXFFIkUg==" saltValue="fZHDUFU+m2QGVpz0UhTZKA==" spinCount="100000" sheet="1" objects="1" scenarios="1"/>
  <mergeCells count="21">
    <mergeCell ref="B14:I14"/>
    <mergeCell ref="B15:I15"/>
    <mergeCell ref="N15:O15"/>
    <mergeCell ref="B10:I10"/>
    <mergeCell ref="B11:I11"/>
    <mergeCell ref="N11:O11"/>
    <mergeCell ref="B12:I12"/>
    <mergeCell ref="B13:I13"/>
    <mergeCell ref="N13:O13"/>
    <mergeCell ref="B6:I6"/>
    <mergeCell ref="B7:I7"/>
    <mergeCell ref="N7:O7"/>
    <mergeCell ref="B8:I8"/>
    <mergeCell ref="B9:I9"/>
    <mergeCell ref="N9:O9"/>
    <mergeCell ref="B2:C2"/>
    <mergeCell ref="K2:L3"/>
    <mergeCell ref="N2:O3"/>
    <mergeCell ref="B4:I4"/>
    <mergeCell ref="B5:I5"/>
    <mergeCell ref="N5:O5"/>
  </mergeCells>
  <conditionalFormatting sqref="B3">
    <cfRule type="expression" dxfId="39" priority="8">
      <formula>C3=""</formula>
    </cfRule>
  </conditionalFormatting>
  <conditionalFormatting sqref="D2">
    <cfRule type="expression" dxfId="38" priority="6">
      <formula>$E$2=""</formula>
    </cfRule>
  </conditionalFormatting>
  <conditionalFormatting sqref="D3">
    <cfRule type="expression" dxfId="37" priority="7">
      <formula>E3=""</formula>
    </cfRule>
  </conditionalFormatting>
  <conditionalFormatting sqref="H3">
    <cfRule type="expression" dxfId="36" priority="5">
      <formula>$I$3=""</formula>
    </cfRule>
  </conditionalFormatting>
  <conditionalFormatting sqref="L5">
    <cfRule type="expression" dxfId="35" priority="17">
      <formula>L5="No"</formula>
    </cfRule>
    <cfRule type="expression" dxfId="34" priority="18">
      <formula>L5="Yes"</formula>
    </cfRule>
  </conditionalFormatting>
  <conditionalFormatting sqref="L7">
    <cfRule type="expression" dxfId="33" priority="15">
      <formula>L7="No"</formula>
    </cfRule>
    <cfRule type="expression" dxfId="32" priority="16">
      <formula>L7="Yes"</formula>
    </cfRule>
  </conditionalFormatting>
  <conditionalFormatting sqref="L9">
    <cfRule type="expression" dxfId="31" priority="13">
      <formula>L9="No"</formula>
    </cfRule>
    <cfRule type="expression" dxfId="30" priority="14">
      <formula>L9="Yes"</formula>
    </cfRule>
  </conditionalFormatting>
  <conditionalFormatting sqref="L11">
    <cfRule type="expression" dxfId="29" priority="11">
      <formula>L11="No"</formula>
    </cfRule>
    <cfRule type="expression" dxfId="28" priority="12">
      <formula>L11="Yes"</formula>
    </cfRule>
  </conditionalFormatting>
  <conditionalFormatting sqref="L13">
    <cfRule type="expression" dxfId="27" priority="9">
      <formula>L13="No"</formula>
    </cfRule>
    <cfRule type="expression" dxfId="26" priority="10">
      <formula>L13="Yes"</formula>
    </cfRule>
  </conditionalFormatting>
  <conditionalFormatting sqref="L15">
    <cfRule type="expression" dxfId="25" priority="3">
      <formula>L15="No"</formula>
    </cfRule>
    <cfRule type="expression" dxfId="24" priority="4">
      <formula>L15="Yes"</formula>
    </cfRule>
  </conditionalFormatting>
  <conditionalFormatting sqref="F2">
    <cfRule type="expression" dxfId="23" priority="2">
      <formula>$G$2=""</formula>
    </cfRule>
  </conditionalFormatting>
  <conditionalFormatting sqref="H2:I2">
    <cfRule type="expression" dxfId="22" priority="1">
      <formula>$I$2=""</formula>
    </cfRule>
  </conditionalFormatting>
  <dataValidations count="4">
    <dataValidation type="list" allowBlank="1" showInputMessage="1" showErrorMessage="1" prompt="Select Deal Term (Years)" sqref="D18" xr:uid="{D60593A7-E000-435E-8FB6-CD9F536FE682}">
      <formula1>"1,2,3,4,5,6,7,8,9,10"</formula1>
    </dataValidation>
    <dataValidation type="list" allowBlank="1" showInputMessage="1" showErrorMessage="1" sqref="D19" xr:uid="{38DB0F97-4E84-46E4-8ABE-238BE3D15BE6}">
      <formula1>"Yes,No"</formula1>
    </dataValidation>
    <dataValidation type="list" allowBlank="1" showInputMessage="1" showErrorMessage="1" sqref="D23:D24" xr:uid="{EB064F04-C632-4D7E-82A8-F504393362B8}">
      <formula1>"0,1,2,3,4,5,6,7,8,9,10"</formula1>
    </dataValidation>
    <dataValidation type="list" allowBlank="1" showInputMessage="1" showErrorMessage="1" prompt="Select Scenario name (MLS for default)" sqref="I2" xr:uid="{1F1E4D0D-88C7-49FF-A4D4-5AF91CCFC48B}">
      <formula1>"Base,Stretch,MLS,ContractModel,Other"</formula1>
    </dataValidation>
  </dataValidations>
  <hyperlinks>
    <hyperlink ref="E29" r:id="rId1" xr:uid="{A0B20578-5BEB-490D-B2A9-1EB21067A77F}"/>
    <hyperlink ref="E30" r:id="rId2" tooltip="https://visa.highspot.com/items/64b7ed48d004140237384d7a" xr:uid="{B2C9A5EF-BD97-4516-9B1F-E00B20B02B6B}"/>
    <hyperlink ref="E31" r:id="rId3" tooltip="https://visa.highspot.com/items/64b7ed7e2b4f9c04ea94b456" xr:uid="{5124F001-80F7-49CF-9C26-3937384ADC25}"/>
  </hyperlinks>
  <pageMargins left="0.70866141732283472" right="0.70866141732283472" top="0.74803149606299213" bottom="0.74803149606299213" header="0.31496062992125984" footer="0.31496062992125984"/>
  <pageSetup scale="59" orientation="landscape" r:id="rId4"/>
  <extLst>
    <ext xmlns:x14="http://schemas.microsoft.com/office/spreadsheetml/2009/9/main" uri="{CCE6A557-97BC-4b89-ADB6-D9C93CAAB3DF}">
      <x14:dataValidations xmlns:xm="http://schemas.microsoft.com/office/excel/2006/main" count="1">
        <x14:dataValidation type="list" allowBlank="1" showInputMessage="1" showErrorMessage="1" xr:uid="{7FF45C52-25A4-4F8D-AEFD-3E229FA97079}">
          <x14:formula1>
            <xm:f>Inputs!$E$96:$E$161</xm:f>
          </x14:formula1>
          <xm:sqref>D21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BCE4-4379-4F7A-BBF0-C4E21E7A4A58}">
  <sheetPr codeName="Sheet10"/>
  <dimension ref="A1:Y161"/>
  <sheetViews>
    <sheetView showGridLines="0" topLeftCell="C4" zoomScale="55" zoomScaleNormal="55" workbookViewId="0">
      <selection activeCell="P6" sqref="P6"/>
    </sheetView>
  </sheetViews>
  <sheetFormatPr defaultColWidth="8.77734375" defaultRowHeight="14.4" outlineLevelRow="1" outlineLevelCol="1" x14ac:dyDescent="0.3"/>
  <cols>
    <col min="1" max="1" width="38" style="1" hidden="1" customWidth="1" outlineLevel="1"/>
    <col min="2" max="2" width="17" style="1" hidden="1" customWidth="1" outlineLevel="1"/>
    <col min="3" max="3" width="2.5546875" style="1" customWidth="1" collapsed="1"/>
    <col min="4" max="4" width="22" style="1" customWidth="1"/>
    <col min="5" max="5" width="18.44140625" style="1" bestFit="1" customWidth="1"/>
    <col min="6" max="6" width="17.88671875" style="1" bestFit="1" customWidth="1"/>
    <col min="7" max="15" width="16.5546875" style="1" customWidth="1"/>
    <col min="16" max="16" width="16.5546875" style="1" customWidth="1" outlineLevel="1"/>
    <col min="17" max="17" width="2.44140625" style="1" customWidth="1"/>
    <col min="18" max="21" width="24.5546875" style="1" customWidth="1"/>
    <col min="22" max="16384" width="8.77734375" style="1"/>
  </cols>
  <sheetData>
    <row r="1" spans="1:25" ht="18.600000000000001" customHeight="1" x14ac:dyDescent="0.3">
      <c r="A1" s="1" t="s">
        <v>75</v>
      </c>
      <c r="B1" s="1" t="s">
        <v>76</v>
      </c>
      <c r="D1" s="93" t="s">
        <v>77</v>
      </c>
      <c r="E1" s="93"/>
      <c r="F1" s="94" t="s">
        <v>78</v>
      </c>
      <c r="G1" s="95"/>
      <c r="H1" s="95"/>
      <c r="I1" s="96"/>
      <c r="J1" s="97" t="s">
        <v>79</v>
      </c>
      <c r="K1" s="98"/>
      <c r="L1" s="98"/>
      <c r="M1" s="99"/>
      <c r="N1" s="100" t="s">
        <v>80</v>
      </c>
      <c r="O1" s="101">
        <v>1.1734</v>
      </c>
      <c r="R1" s="102" t="s">
        <v>81</v>
      </c>
      <c r="S1" s="102"/>
    </row>
    <row r="2" spans="1:25" ht="18.600000000000001" customHeight="1" thickBot="1" x14ac:dyDescent="0.35">
      <c r="A2" s="1" t="s">
        <v>82</v>
      </c>
      <c r="B2" s="1" t="s">
        <v>83</v>
      </c>
      <c r="D2" s="93"/>
      <c r="E2" s="93"/>
      <c r="F2" s="103"/>
      <c r="G2" s="104"/>
      <c r="H2" s="104"/>
      <c r="I2" s="105"/>
      <c r="J2" s="106"/>
      <c r="K2" s="107"/>
      <c r="L2" s="107"/>
      <c r="M2" s="108"/>
      <c r="N2" s="100"/>
      <c r="O2" s="101"/>
      <c r="R2" s="102"/>
      <c r="S2" s="102"/>
    </row>
    <row r="3" spans="1:25" ht="40.200000000000003" customHeight="1" thickBot="1" x14ac:dyDescent="0.35">
      <c r="A3" s="1" t="s">
        <v>84</v>
      </c>
      <c r="D3" s="93"/>
      <c r="E3" s="93"/>
      <c r="F3" s="109" t="s">
        <v>85</v>
      </c>
      <c r="G3" s="110" t="str">
        <f>VLOOKUP(Intro!$E$3,[1]Metrics!$B$114:$D$156,3,0)</f>
        <v>EEA</v>
      </c>
      <c r="H3" s="109" t="s">
        <v>86</v>
      </c>
      <c r="I3" s="111">
        <f>Intro!D18</f>
        <v>5</v>
      </c>
      <c r="N3" s="112" t="s">
        <v>87</v>
      </c>
      <c r="O3" s="113">
        <v>0.87268000000000001</v>
      </c>
      <c r="Q3" s="114"/>
      <c r="R3" s="102"/>
      <c r="S3" s="102"/>
      <c r="T3" s="114"/>
    </row>
    <row r="4" spans="1:25" ht="40.200000000000003" customHeight="1" thickBot="1" x14ac:dyDescent="0.35">
      <c r="A4" s="1" t="s">
        <v>88</v>
      </c>
      <c r="D4" s="93"/>
      <c r="E4" s="93"/>
      <c r="F4" s="115" t="s">
        <v>89</v>
      </c>
      <c r="G4" s="116" t="s">
        <v>90</v>
      </c>
      <c r="H4" s="117" t="s">
        <v>91</v>
      </c>
      <c r="I4" s="118" t="s">
        <v>92</v>
      </c>
      <c r="J4" s="119" t="s">
        <v>93</v>
      </c>
      <c r="N4" s="120"/>
      <c r="O4" s="121"/>
      <c r="P4" s="114"/>
      <c r="Q4" s="114"/>
      <c r="R4" s="102"/>
      <c r="S4" s="102"/>
      <c r="T4" s="114"/>
      <c r="W4" s="122"/>
      <c r="X4" s="122"/>
      <c r="Y4" s="122"/>
    </row>
    <row r="5" spans="1:25" ht="40.200000000000003" customHeight="1" thickBot="1" x14ac:dyDescent="0.35">
      <c r="A5" s="1" t="s">
        <v>94</v>
      </c>
      <c r="D5" s="93"/>
      <c r="E5" s="93"/>
      <c r="F5" s="123" t="str">
        <f>IF($G$4="Originator","Input Enabler Name","")</f>
        <v>Input Enabler Name</v>
      </c>
      <c r="G5" s="116" t="s">
        <v>95</v>
      </c>
      <c r="H5" s="117" t="s">
        <v>96</v>
      </c>
      <c r="I5" s="118" t="s">
        <v>92</v>
      </c>
      <c r="J5" s="119" t="s">
        <v>93</v>
      </c>
      <c r="K5" s="124"/>
      <c r="L5" s="125"/>
      <c r="P5" s="114"/>
      <c r="Q5" s="114"/>
      <c r="R5" s="102"/>
      <c r="S5" s="102"/>
      <c r="T5" s="114"/>
      <c r="V5" s="122"/>
      <c r="W5" s="122"/>
      <c r="X5" s="122"/>
      <c r="Y5" s="122"/>
    </row>
    <row r="6" spans="1:25" ht="14.7" customHeight="1" thickBot="1" x14ac:dyDescent="0.35">
      <c r="D6" s="126"/>
      <c r="E6" s="127"/>
      <c r="F6" s="127"/>
      <c r="G6" s="127"/>
      <c r="H6" s="128"/>
      <c r="I6" s="128"/>
      <c r="J6" s="128"/>
      <c r="P6" s="114"/>
      <c r="Q6" s="114"/>
      <c r="R6" s="102"/>
      <c r="S6" s="102"/>
      <c r="T6" s="114"/>
    </row>
    <row r="7" spans="1:25" ht="14.7" customHeight="1" thickBot="1" x14ac:dyDescent="0.35">
      <c r="D7" s="129" t="s">
        <v>97</v>
      </c>
      <c r="E7" s="130" t="s">
        <v>98</v>
      </c>
      <c r="F7" s="130"/>
      <c r="G7" s="130"/>
      <c r="H7" s="131"/>
      <c r="I7" s="132"/>
      <c r="J7" s="132"/>
      <c r="K7" s="132"/>
      <c r="L7" s="133"/>
      <c r="M7" s="133"/>
      <c r="P7" s="114"/>
      <c r="Q7" s="114"/>
      <c r="R7" s="102"/>
      <c r="S7" s="102"/>
      <c r="T7" s="114"/>
    </row>
    <row r="8" spans="1:25" ht="14.7" customHeight="1" thickBot="1" x14ac:dyDescent="0.35">
      <c r="C8" s="134"/>
      <c r="D8" s="135"/>
      <c r="E8" s="136" t="s">
        <v>99</v>
      </c>
      <c r="F8" s="137" t="s">
        <v>100</v>
      </c>
      <c r="G8" s="136" t="s">
        <v>101</v>
      </c>
      <c r="H8" s="138" t="s">
        <v>102</v>
      </c>
      <c r="I8" s="139" t="s">
        <v>103</v>
      </c>
      <c r="J8" s="139" t="s">
        <v>104</v>
      </c>
      <c r="K8" s="139" t="s">
        <v>105</v>
      </c>
      <c r="L8" s="133"/>
      <c r="M8" s="133"/>
      <c r="P8" s="114"/>
      <c r="Q8" s="114"/>
      <c r="R8" s="102"/>
      <c r="S8" s="102"/>
      <c r="T8" s="114"/>
    </row>
    <row r="9" spans="1:25" ht="14.7" customHeight="1" x14ac:dyDescent="0.3">
      <c r="A9" s="140" t="str">
        <f>$G$3&amp;D9</f>
        <v>EEADOM</v>
      </c>
      <c r="C9" s="134"/>
      <c r="D9" s="141" t="s">
        <v>106</v>
      </c>
      <c r="E9" s="142">
        <v>208</v>
      </c>
      <c r="F9" s="143"/>
      <c r="G9" s="142">
        <v>205</v>
      </c>
      <c r="H9" s="143"/>
      <c r="I9" s="144"/>
      <c r="J9" s="145">
        <v>0.5</v>
      </c>
      <c r="K9" s="146">
        <f>1-J9</f>
        <v>0.5</v>
      </c>
      <c r="L9" s="133"/>
      <c r="M9" s="133"/>
      <c r="P9" s="114"/>
      <c r="Q9" s="114"/>
      <c r="R9" s="102"/>
      <c r="S9" s="102"/>
      <c r="T9" s="114"/>
    </row>
    <row r="10" spans="1:25" ht="14.7" customHeight="1" x14ac:dyDescent="0.3">
      <c r="A10" s="140" t="str">
        <f>$G$3&amp;D10</f>
        <v>EEAINTRA EEA</v>
      </c>
      <c r="C10" s="134"/>
      <c r="D10" s="141" t="s">
        <v>76</v>
      </c>
      <c r="E10" s="147">
        <v>213</v>
      </c>
      <c r="F10" s="148"/>
      <c r="G10" s="147">
        <v>209</v>
      </c>
      <c r="H10" s="148"/>
      <c r="I10" s="146">
        <v>0.1</v>
      </c>
      <c r="J10" s="145">
        <v>0.5</v>
      </c>
      <c r="K10" s="146">
        <f t="shared" ref="K10:K12" si="0">1-J10</f>
        <v>0.5</v>
      </c>
      <c r="L10" s="133"/>
      <c r="M10" s="133"/>
      <c r="P10" s="114"/>
      <c r="Q10" s="114"/>
      <c r="R10" s="102"/>
      <c r="S10" s="102"/>
      <c r="T10" s="114"/>
    </row>
    <row r="11" spans="1:25" ht="14.7" customHeight="1" x14ac:dyDescent="0.3">
      <c r="A11" s="140" t="str">
        <f>$G$3&amp;D11</f>
        <v>EEAINTRA Non-EEA</v>
      </c>
      <c r="D11" s="141" t="s">
        <v>107</v>
      </c>
      <c r="E11" s="147">
        <v>213</v>
      </c>
      <c r="F11" s="148"/>
      <c r="G11" s="147">
        <v>209</v>
      </c>
      <c r="H11" s="148"/>
      <c r="I11" s="149">
        <v>0.85</v>
      </c>
      <c r="J11" s="145">
        <v>0.5</v>
      </c>
      <c r="K11" s="146">
        <f t="shared" si="0"/>
        <v>0.5</v>
      </c>
      <c r="L11" s="133"/>
      <c r="M11" s="133"/>
      <c r="P11" s="114"/>
      <c r="Q11" s="114"/>
      <c r="R11" s="102"/>
      <c r="S11" s="102"/>
      <c r="T11" s="114"/>
    </row>
    <row r="12" spans="1:25" ht="15" customHeight="1" thickBot="1" x14ac:dyDescent="0.35">
      <c r="A12" s="140" t="str">
        <f>$G$3&amp;D12</f>
        <v>EEAINTER</v>
      </c>
      <c r="D12" s="150" t="s">
        <v>108</v>
      </c>
      <c r="E12" s="151">
        <v>152</v>
      </c>
      <c r="F12" s="152"/>
      <c r="G12" s="151">
        <v>150</v>
      </c>
      <c r="H12" s="152"/>
      <c r="I12" s="153">
        <v>0.65</v>
      </c>
      <c r="J12" s="154">
        <v>0.5</v>
      </c>
      <c r="K12" s="153">
        <f t="shared" si="0"/>
        <v>0.5</v>
      </c>
      <c r="L12" s="133"/>
      <c r="M12" s="133"/>
      <c r="P12" s="114"/>
      <c r="Q12" s="114"/>
      <c r="R12" s="102"/>
      <c r="S12" s="102"/>
      <c r="T12" s="114"/>
    </row>
    <row r="13" spans="1:25" x14ac:dyDescent="0.3">
      <c r="D13" s="155"/>
      <c r="H13" s="155"/>
      <c r="R13" s="102"/>
      <c r="S13" s="102"/>
    </row>
    <row r="14" spans="1:25" outlineLevel="1" x14ac:dyDescent="0.3">
      <c r="D14" s="155"/>
    </row>
    <row r="15" spans="1:25" outlineLevel="1" x14ac:dyDescent="0.3">
      <c r="D15" s="155"/>
    </row>
    <row r="16" spans="1:25" ht="14.7" customHeight="1" outlineLevel="1" x14ac:dyDescent="0.3"/>
    <row r="17" spans="1:21" ht="31.5" customHeight="1" x14ac:dyDescent="0.3">
      <c r="A17" s="156" t="s">
        <v>109</v>
      </c>
      <c r="B17" s="156"/>
      <c r="D17" s="157" t="s">
        <v>110</v>
      </c>
      <c r="E17" s="157"/>
      <c r="F17" s="157"/>
      <c r="G17" s="157"/>
      <c r="H17" s="157"/>
      <c r="I17" s="157"/>
      <c r="J17" s="157"/>
      <c r="K17" s="157"/>
      <c r="L17" s="157"/>
      <c r="M17" s="157"/>
      <c r="N17" s="157"/>
      <c r="O17" s="157"/>
      <c r="Q17" s="158"/>
      <c r="R17" s="158"/>
      <c r="S17" s="158"/>
    </row>
    <row r="18" spans="1:21" ht="15.6" customHeight="1" outlineLevel="1" x14ac:dyDescent="0.3">
      <c r="A18" s="156"/>
      <c r="B18" s="156"/>
      <c r="E18" s="1">
        <f t="shared" ref="E18:O18" si="1">IF(E19&lt;=$I$3,1,0)</f>
        <v>1</v>
      </c>
      <c r="F18" s="1">
        <f t="shared" si="1"/>
        <v>1</v>
      </c>
      <c r="G18" s="1">
        <f t="shared" si="1"/>
        <v>1</v>
      </c>
      <c r="H18" s="1">
        <f t="shared" si="1"/>
        <v>1</v>
      </c>
      <c r="I18" s="1">
        <f t="shared" si="1"/>
        <v>1</v>
      </c>
      <c r="J18" s="1">
        <f t="shared" si="1"/>
        <v>0</v>
      </c>
      <c r="K18" s="1">
        <f t="shared" si="1"/>
        <v>0</v>
      </c>
      <c r="L18" s="1">
        <f t="shared" si="1"/>
        <v>0</v>
      </c>
      <c r="M18" s="1">
        <f t="shared" si="1"/>
        <v>0</v>
      </c>
      <c r="N18" s="1">
        <f t="shared" si="1"/>
        <v>0</v>
      </c>
      <c r="O18" s="1">
        <f t="shared" si="1"/>
        <v>0</v>
      </c>
    </row>
    <row r="19" spans="1:21" x14ac:dyDescent="0.3">
      <c r="A19" s="159"/>
      <c r="B19" s="159"/>
      <c r="D19" s="160" t="s">
        <v>99</v>
      </c>
      <c r="E19" s="161">
        <v>1</v>
      </c>
      <c r="F19" s="161">
        <v>2</v>
      </c>
      <c r="G19" s="161">
        <v>3</v>
      </c>
      <c r="H19" s="161">
        <v>4</v>
      </c>
      <c r="I19" s="161">
        <v>5</v>
      </c>
      <c r="J19" s="161">
        <v>6</v>
      </c>
      <c r="K19" s="161">
        <v>7</v>
      </c>
      <c r="L19" s="161">
        <v>8</v>
      </c>
      <c r="M19" s="161">
        <v>9</v>
      </c>
      <c r="N19" s="161">
        <v>10</v>
      </c>
      <c r="O19" s="161" t="s">
        <v>111</v>
      </c>
    </row>
    <row r="20" spans="1:21" x14ac:dyDescent="0.3">
      <c r="A20" s="159"/>
      <c r="B20" s="159"/>
      <c r="D20" s="162" t="s">
        <v>112</v>
      </c>
      <c r="E20" s="163">
        <f t="shared" ref="E20:N20" si="2">SUM(E21:E25)</f>
        <v>149224746.32361245</v>
      </c>
      <c r="F20" s="163">
        <f t="shared" si="2"/>
        <v>239366088.08383942</v>
      </c>
      <c r="G20" s="163">
        <f t="shared" si="2"/>
        <v>390762637.51125574</v>
      </c>
      <c r="H20" s="163">
        <f t="shared" si="2"/>
        <v>551913149.22089767</v>
      </c>
      <c r="I20" s="163">
        <f t="shared" si="2"/>
        <v>807133755.47471595</v>
      </c>
      <c r="J20" s="163">
        <f t="shared" si="2"/>
        <v>0</v>
      </c>
      <c r="K20" s="163">
        <f t="shared" si="2"/>
        <v>0</v>
      </c>
      <c r="L20" s="163">
        <f t="shared" si="2"/>
        <v>0</v>
      </c>
      <c r="M20" s="163">
        <f t="shared" si="2"/>
        <v>0</v>
      </c>
      <c r="N20" s="163">
        <f t="shared" si="2"/>
        <v>0</v>
      </c>
      <c r="O20" s="163">
        <f>SUM(E20:N20)</f>
        <v>2138400376.6143212</v>
      </c>
    </row>
    <row r="21" spans="1:21" x14ac:dyDescent="0.3">
      <c r="A21" s="159"/>
      <c r="B21" s="159"/>
      <c r="D21" s="164" t="s">
        <v>106</v>
      </c>
      <c r="E21" s="165">
        <f>E28*$E9</f>
        <v>122598260.63385212</v>
      </c>
      <c r="F21" s="165">
        <f t="shared" ref="F21:O21" si="3">F28*$E9</f>
        <v>176140362.67246169</v>
      </c>
      <c r="G21" s="165">
        <f t="shared" si="3"/>
        <v>252657025.14726773</v>
      </c>
      <c r="H21" s="165">
        <f t="shared" si="3"/>
        <v>356852782.31800103</v>
      </c>
      <c r="I21" s="165">
        <f t="shared" si="3"/>
        <v>506936784.809677</v>
      </c>
      <c r="J21" s="165">
        <f t="shared" si="3"/>
        <v>0</v>
      </c>
      <c r="K21" s="165">
        <f t="shared" si="3"/>
        <v>0</v>
      </c>
      <c r="L21" s="165">
        <f t="shared" si="3"/>
        <v>0</v>
      </c>
      <c r="M21" s="165">
        <f t="shared" si="3"/>
        <v>0</v>
      </c>
      <c r="N21" s="165">
        <f t="shared" si="3"/>
        <v>0</v>
      </c>
      <c r="O21" s="165">
        <f t="shared" ref="O21:O25" si="4">SUM(E21:N21)</f>
        <v>1415185215.5812597</v>
      </c>
    </row>
    <row r="22" spans="1:21" x14ac:dyDescent="0.3">
      <c r="A22" s="159"/>
      <c r="B22" s="159"/>
      <c r="D22" s="164" t="s">
        <v>113</v>
      </c>
      <c r="E22" s="165">
        <f t="shared" ref="E22:N22" si="5">E29*$E10</f>
        <v>0</v>
      </c>
      <c r="F22" s="165">
        <f t="shared" si="5"/>
        <v>0</v>
      </c>
      <c r="G22" s="165">
        <f t="shared" si="5"/>
        <v>0</v>
      </c>
      <c r="H22" s="165">
        <f t="shared" si="5"/>
        <v>0</v>
      </c>
      <c r="I22" s="165">
        <f t="shared" si="5"/>
        <v>0</v>
      </c>
      <c r="J22" s="165">
        <f t="shared" si="5"/>
        <v>0</v>
      </c>
      <c r="K22" s="165">
        <f t="shared" si="5"/>
        <v>0</v>
      </c>
      <c r="L22" s="165">
        <f t="shared" si="5"/>
        <v>0</v>
      </c>
      <c r="M22" s="165">
        <f t="shared" si="5"/>
        <v>0</v>
      </c>
      <c r="N22" s="165">
        <f t="shared" si="5"/>
        <v>0</v>
      </c>
      <c r="O22" s="165">
        <f t="shared" si="4"/>
        <v>0</v>
      </c>
    </row>
    <row r="23" spans="1:21" x14ac:dyDescent="0.3">
      <c r="A23" s="159"/>
      <c r="B23" s="159"/>
      <c r="D23" s="164" t="s">
        <v>114</v>
      </c>
      <c r="E23" s="165">
        <f>E30*$E10</f>
        <v>0</v>
      </c>
      <c r="F23" s="165">
        <f t="shared" ref="F23:N25" si="6">F30*$E10</f>
        <v>0</v>
      </c>
      <c r="G23" s="165">
        <f t="shared" si="6"/>
        <v>0</v>
      </c>
      <c r="H23" s="165">
        <f t="shared" si="6"/>
        <v>0</v>
      </c>
      <c r="I23" s="165">
        <f t="shared" si="6"/>
        <v>0</v>
      </c>
      <c r="J23" s="165">
        <f t="shared" si="6"/>
        <v>0</v>
      </c>
      <c r="K23" s="165">
        <f t="shared" si="6"/>
        <v>0</v>
      </c>
      <c r="L23" s="165">
        <f t="shared" si="6"/>
        <v>0</v>
      </c>
      <c r="M23" s="165">
        <f t="shared" si="6"/>
        <v>0</v>
      </c>
      <c r="N23" s="165">
        <f t="shared" si="6"/>
        <v>0</v>
      </c>
      <c r="O23" s="165">
        <f t="shared" si="4"/>
        <v>0</v>
      </c>
    </row>
    <row r="24" spans="1:21" x14ac:dyDescent="0.3">
      <c r="A24" s="159"/>
      <c r="B24" s="159"/>
      <c r="D24" s="164" t="s">
        <v>107</v>
      </c>
      <c r="E24" s="165">
        <f>E31*$E11</f>
        <v>5089381.1696672617</v>
      </c>
      <c r="F24" s="165">
        <f t="shared" si="6"/>
        <v>8386282.2913777158</v>
      </c>
      <c r="G24" s="165">
        <f t="shared" si="6"/>
        <v>14100934.652787959</v>
      </c>
      <c r="H24" s="165">
        <f t="shared" si="6"/>
        <v>19916160.103597719</v>
      </c>
      <c r="I24" s="165">
        <f t="shared" si="6"/>
        <v>29301650.552418146</v>
      </c>
      <c r="J24" s="165">
        <f t="shared" si="6"/>
        <v>0</v>
      </c>
      <c r="K24" s="165">
        <f t="shared" si="6"/>
        <v>0</v>
      </c>
      <c r="L24" s="165">
        <f t="shared" si="6"/>
        <v>0</v>
      </c>
      <c r="M24" s="165">
        <f t="shared" si="6"/>
        <v>0</v>
      </c>
      <c r="N24" s="165">
        <f t="shared" si="6"/>
        <v>0</v>
      </c>
      <c r="O24" s="165">
        <f t="shared" si="4"/>
        <v>76794408.769848794</v>
      </c>
    </row>
    <row r="25" spans="1:21" ht="15" thickBot="1" x14ac:dyDescent="0.35">
      <c r="A25" s="159"/>
      <c r="B25" s="159"/>
      <c r="D25" s="164" t="s">
        <v>108</v>
      </c>
      <c r="E25" s="165">
        <f>E32*$E12</f>
        <v>21537104.520093068</v>
      </c>
      <c r="F25" s="165">
        <f t="shared" si="6"/>
        <v>54839443.120000005</v>
      </c>
      <c r="G25" s="165">
        <f t="shared" si="6"/>
        <v>124004677.71120003</v>
      </c>
      <c r="H25" s="165">
        <f t="shared" si="6"/>
        <v>175144206.79929897</v>
      </c>
      <c r="I25" s="165">
        <f t="shared" si="6"/>
        <v>270895320.11262083</v>
      </c>
      <c r="J25" s="165">
        <f t="shared" si="6"/>
        <v>0</v>
      </c>
      <c r="K25" s="165">
        <f t="shared" si="6"/>
        <v>0</v>
      </c>
      <c r="L25" s="165">
        <f t="shared" si="6"/>
        <v>0</v>
      </c>
      <c r="M25" s="165">
        <f t="shared" si="6"/>
        <v>0</v>
      </c>
      <c r="N25" s="165">
        <f t="shared" si="6"/>
        <v>0</v>
      </c>
      <c r="O25" s="165">
        <f t="shared" si="4"/>
        <v>646420752.26321292</v>
      </c>
    </row>
    <row r="26" spans="1:21" ht="15.6" customHeight="1" x14ac:dyDescent="0.3">
      <c r="A26" s="159"/>
      <c r="B26" s="159"/>
      <c r="D26" s="160"/>
      <c r="E26" s="164"/>
      <c r="F26" s="164">
        <f>F27/E27-1</f>
        <v>0.6516380053310451</v>
      </c>
      <c r="G26" s="164">
        <f>G27/F27-1</f>
        <v>0.68142857142857149</v>
      </c>
      <c r="H26" s="164">
        <f>H27/G27-1</f>
        <v>0.41240000000000032</v>
      </c>
      <c r="I26" s="164">
        <f>I27/H27-1</f>
        <v>0.47125000000000017</v>
      </c>
      <c r="J26" s="164"/>
      <c r="K26" s="164"/>
      <c r="L26" s="164"/>
      <c r="M26" s="164"/>
      <c r="N26" s="164"/>
      <c r="O26" s="164"/>
      <c r="R26" s="166" t="s">
        <v>115</v>
      </c>
      <c r="S26" s="167"/>
      <c r="T26" s="168" t="s">
        <v>116</v>
      </c>
      <c r="U26" s="168" t="s">
        <v>117</v>
      </c>
    </row>
    <row r="27" spans="1:21" ht="15" thickBot="1" x14ac:dyDescent="0.35">
      <c r="A27" s="159"/>
      <c r="B27" s="159"/>
      <c r="D27" s="162" t="s">
        <v>118</v>
      </c>
      <c r="E27" s="169">
        <f t="shared" ref="E27:N27" si="7">SUM(E28:E32)</f>
        <v>755000</v>
      </c>
      <c r="F27" s="169">
        <f t="shared" si="7"/>
        <v>1246986.6940249391</v>
      </c>
      <c r="G27" s="169">
        <f t="shared" si="7"/>
        <v>2096719.0555247907</v>
      </c>
      <c r="H27" s="169">
        <f t="shared" si="7"/>
        <v>2961405.994023215</v>
      </c>
      <c r="I27" s="169">
        <f t="shared" si="7"/>
        <v>4356968.5687066559</v>
      </c>
      <c r="J27" s="169">
        <f t="shared" si="7"/>
        <v>0</v>
      </c>
      <c r="K27" s="169">
        <f t="shared" si="7"/>
        <v>0</v>
      </c>
      <c r="L27" s="169">
        <f t="shared" si="7"/>
        <v>0</v>
      </c>
      <c r="M27" s="169">
        <f t="shared" si="7"/>
        <v>0</v>
      </c>
      <c r="N27" s="169">
        <f t="shared" si="7"/>
        <v>0</v>
      </c>
      <c r="O27" s="170">
        <f>SUM(E27:N27)</f>
        <v>11417080.312279601</v>
      </c>
      <c r="P27" s="171">
        <f>O27/SUM($O$27+$O$42+$O$57)</f>
        <v>0.76923076923076927</v>
      </c>
      <c r="R27" s="172"/>
      <c r="S27" s="173"/>
      <c r="T27" s="174"/>
      <c r="U27" s="175"/>
    </row>
    <row r="28" spans="1:21" ht="14.1" customHeight="1" x14ac:dyDescent="0.3">
      <c r="A28" s="159" t="str">
        <f>$G$3&amp;$D$19&amp;D28</f>
        <v>EEAOCT - PP &amp; AADOM</v>
      </c>
      <c r="B28" s="159" t="s">
        <v>106</v>
      </c>
      <c r="D28" s="164" t="s">
        <v>106</v>
      </c>
      <c r="E28" s="176">
        <v>589414.71458582755</v>
      </c>
      <c r="F28" s="176">
        <v>846828.66669452738</v>
      </c>
      <c r="G28" s="176">
        <v>1214697.236284941</v>
      </c>
      <c r="H28" s="176">
        <v>1715638.3765288512</v>
      </c>
      <c r="I28" s="176">
        <v>2437196.0808157548</v>
      </c>
      <c r="J28" s="176"/>
      <c r="K28" s="176"/>
      <c r="L28" s="176"/>
      <c r="M28" s="176"/>
      <c r="N28" s="176"/>
      <c r="O28" s="177">
        <f t="shared" ref="O28:O32" si="8">SUM(E28:N28)</f>
        <v>6803775.0749099012</v>
      </c>
      <c r="R28" s="178" t="s">
        <v>119</v>
      </c>
      <c r="S28" s="179" t="s">
        <v>120</v>
      </c>
      <c r="T28" s="180" t="s">
        <v>121</v>
      </c>
      <c r="U28" s="180" t="s">
        <v>122</v>
      </c>
    </row>
    <row r="29" spans="1:21" x14ac:dyDescent="0.3">
      <c r="A29" s="159" t="str">
        <f>$G$3&amp;$D$19&amp;D29</f>
        <v>EEAOCT - PP &amp; AAINTRA EEA - Euro</v>
      </c>
      <c r="B29" s="159" t="s">
        <v>113</v>
      </c>
      <c r="D29" s="164" t="s">
        <v>113</v>
      </c>
      <c r="E29" s="176"/>
      <c r="F29" s="176"/>
      <c r="G29" s="176"/>
      <c r="H29" s="176"/>
      <c r="I29" s="176"/>
      <c r="J29" s="176"/>
      <c r="K29" s="176"/>
      <c r="L29" s="176"/>
      <c r="M29" s="176"/>
      <c r="N29" s="176"/>
      <c r="O29" s="177">
        <f t="shared" si="8"/>
        <v>0</v>
      </c>
      <c r="R29" s="181"/>
      <c r="S29" s="182"/>
      <c r="T29" s="183"/>
      <c r="U29" s="183"/>
    </row>
    <row r="30" spans="1:21" ht="15" thickBot="1" x14ac:dyDescent="0.35">
      <c r="A30" s="159" t="str">
        <f>$G$3&amp;$D$19&amp;D30</f>
        <v>EEAOCT - PP &amp; AAINTRA EEA - non Euro</v>
      </c>
      <c r="B30" s="159" t="s">
        <v>114</v>
      </c>
      <c r="D30" s="164" t="s">
        <v>114</v>
      </c>
      <c r="E30" s="176"/>
      <c r="F30" s="176"/>
      <c r="G30" s="176"/>
      <c r="H30" s="176"/>
      <c r="I30" s="176"/>
      <c r="J30" s="176"/>
      <c r="K30" s="176"/>
      <c r="L30" s="176"/>
      <c r="M30" s="176"/>
      <c r="N30" s="176"/>
      <c r="O30" s="177">
        <f t="shared" si="8"/>
        <v>0</v>
      </c>
      <c r="R30" s="181"/>
      <c r="S30" s="182"/>
      <c r="T30" s="183"/>
      <c r="U30" s="183"/>
    </row>
    <row r="31" spans="1:21" ht="15" thickBot="1" x14ac:dyDescent="0.35">
      <c r="A31" s="159" t="str">
        <f>$G$3&amp;$D$19&amp;D31</f>
        <v>EEAOCT - PP &amp; AAINTRA Non-EEA</v>
      </c>
      <c r="B31" s="159" t="s">
        <v>107</v>
      </c>
      <c r="D31" s="164" t="s">
        <v>107</v>
      </c>
      <c r="E31" s="176">
        <v>23893.808308297004</v>
      </c>
      <c r="F31" s="176">
        <v>39372.217330411811</v>
      </c>
      <c r="G31" s="176">
        <v>66201.571139849577</v>
      </c>
      <c r="H31" s="176">
        <v>93503.099077923558</v>
      </c>
      <c r="I31" s="176">
        <v>137566.43451839505</v>
      </c>
      <c r="J31" s="176"/>
      <c r="K31" s="176"/>
      <c r="L31" s="176"/>
      <c r="M31" s="176"/>
      <c r="N31" s="176"/>
      <c r="O31" s="177">
        <f t="shared" si="8"/>
        <v>360537.13037487702</v>
      </c>
      <c r="R31" s="178" t="s">
        <v>119</v>
      </c>
      <c r="S31" s="179" t="s">
        <v>120</v>
      </c>
      <c r="T31" s="180" t="s">
        <v>121</v>
      </c>
      <c r="U31" s="180" t="s">
        <v>122</v>
      </c>
    </row>
    <row r="32" spans="1:21" x14ac:dyDescent="0.3">
      <c r="A32" s="159" t="str">
        <f>$G$3&amp;$D$19&amp;D32</f>
        <v>EEAOCT - PP &amp; AAINTER</v>
      </c>
      <c r="B32" s="159" t="s">
        <v>108</v>
      </c>
      <c r="D32" s="164" t="s">
        <v>108</v>
      </c>
      <c r="E32" s="176">
        <v>141691.47710587544</v>
      </c>
      <c r="F32" s="176">
        <v>360785.81000000006</v>
      </c>
      <c r="G32" s="176">
        <v>815820.2481000002</v>
      </c>
      <c r="H32" s="176">
        <v>1152264.5184164406</v>
      </c>
      <c r="I32" s="176">
        <v>1782206.0533725056</v>
      </c>
      <c r="J32" s="176"/>
      <c r="K32" s="176"/>
      <c r="L32" s="176"/>
      <c r="M32" s="176"/>
      <c r="N32" s="176"/>
      <c r="O32" s="177">
        <f t="shared" si="8"/>
        <v>4252768.1069948226</v>
      </c>
      <c r="R32" s="178" t="s">
        <v>119</v>
      </c>
      <c r="S32" s="179" t="s">
        <v>120</v>
      </c>
      <c r="T32" s="180" t="s">
        <v>121</v>
      </c>
      <c r="U32" s="180" t="s">
        <v>122</v>
      </c>
    </row>
    <row r="33" spans="1:21" x14ac:dyDescent="0.3">
      <c r="A33" s="159"/>
      <c r="B33" s="159"/>
    </row>
    <row r="34" spans="1:21" x14ac:dyDescent="0.3">
      <c r="A34" s="159"/>
      <c r="B34" s="159"/>
      <c r="D34" s="160" t="s">
        <v>100</v>
      </c>
      <c r="E34" s="161">
        <v>1</v>
      </c>
      <c r="F34" s="161">
        <v>2</v>
      </c>
      <c r="G34" s="161">
        <v>3</v>
      </c>
      <c r="H34" s="161">
        <v>4</v>
      </c>
      <c r="I34" s="161">
        <v>5</v>
      </c>
      <c r="J34" s="161">
        <v>6</v>
      </c>
      <c r="K34" s="161">
        <v>7</v>
      </c>
      <c r="L34" s="161">
        <v>8</v>
      </c>
      <c r="M34" s="161">
        <v>9</v>
      </c>
      <c r="N34" s="161">
        <v>10</v>
      </c>
      <c r="O34" s="161" t="s">
        <v>111</v>
      </c>
      <c r="R34" s="1" t="s">
        <v>119</v>
      </c>
      <c r="S34" s="1" t="s">
        <v>120</v>
      </c>
      <c r="T34" s="1" t="s">
        <v>121</v>
      </c>
      <c r="U34" s="1" t="s">
        <v>122</v>
      </c>
    </row>
    <row r="35" spans="1:21" x14ac:dyDescent="0.3">
      <c r="A35" s="159"/>
      <c r="B35" s="159"/>
      <c r="D35" s="162" t="s">
        <v>112</v>
      </c>
      <c r="E35" s="163">
        <f>SUM(E36:E40)</f>
        <v>0</v>
      </c>
      <c r="F35" s="163">
        <f t="shared" ref="F35:N35" si="9">SUM(F36:F40)</f>
        <v>0</v>
      </c>
      <c r="G35" s="163">
        <f t="shared" si="9"/>
        <v>0</v>
      </c>
      <c r="H35" s="163">
        <f t="shared" si="9"/>
        <v>0</v>
      </c>
      <c r="I35" s="163">
        <f t="shared" si="9"/>
        <v>0</v>
      </c>
      <c r="J35" s="163">
        <f t="shared" si="9"/>
        <v>0</v>
      </c>
      <c r="K35" s="163">
        <f t="shared" si="9"/>
        <v>0</v>
      </c>
      <c r="L35" s="163">
        <f t="shared" si="9"/>
        <v>0</v>
      </c>
      <c r="M35" s="163">
        <f t="shared" si="9"/>
        <v>0</v>
      </c>
      <c r="N35" s="163">
        <f t="shared" si="9"/>
        <v>0</v>
      </c>
      <c r="O35" s="163">
        <f>SUM(E35:N35)</f>
        <v>0</v>
      </c>
      <c r="P35" s="184"/>
      <c r="Q35" s="184"/>
      <c r="R35" s="1" t="s">
        <v>119</v>
      </c>
      <c r="S35" s="1" t="s">
        <v>123</v>
      </c>
      <c r="T35" s="1" t="s">
        <v>121</v>
      </c>
      <c r="U35" s="1" t="s">
        <v>122</v>
      </c>
    </row>
    <row r="36" spans="1:21" x14ac:dyDescent="0.3">
      <c r="A36" s="159"/>
      <c r="B36" s="159"/>
      <c r="D36" s="164" t="s">
        <v>106</v>
      </c>
      <c r="E36" s="165">
        <f t="shared" ref="E36:N37" si="10">E43*$F9</f>
        <v>0</v>
      </c>
      <c r="F36" s="165">
        <f t="shared" si="10"/>
        <v>0</v>
      </c>
      <c r="G36" s="165">
        <f t="shared" si="10"/>
        <v>0</v>
      </c>
      <c r="H36" s="165">
        <f t="shared" si="10"/>
        <v>0</v>
      </c>
      <c r="I36" s="165">
        <f t="shared" si="10"/>
        <v>0</v>
      </c>
      <c r="J36" s="165">
        <f t="shared" si="10"/>
        <v>0</v>
      </c>
      <c r="K36" s="165">
        <f t="shared" si="10"/>
        <v>0</v>
      </c>
      <c r="L36" s="165">
        <f t="shared" si="10"/>
        <v>0</v>
      </c>
      <c r="M36" s="165">
        <f t="shared" si="10"/>
        <v>0</v>
      </c>
      <c r="N36" s="165">
        <f t="shared" si="10"/>
        <v>0</v>
      </c>
      <c r="O36" s="165">
        <f t="shared" ref="O36:O40" si="11">SUM(E36:N36)</f>
        <v>0</v>
      </c>
      <c r="R36" s="1" t="s">
        <v>124</v>
      </c>
      <c r="S36" s="1" t="s">
        <v>120</v>
      </c>
      <c r="T36" s="1" t="s">
        <v>121</v>
      </c>
      <c r="U36" s="1" t="s">
        <v>122</v>
      </c>
    </row>
    <row r="37" spans="1:21" x14ac:dyDescent="0.3">
      <c r="A37" s="159"/>
      <c r="B37" s="159"/>
      <c r="D37" s="164" t="s">
        <v>113</v>
      </c>
      <c r="E37" s="165">
        <f>E44*$F10</f>
        <v>0</v>
      </c>
      <c r="F37" s="165">
        <f t="shared" si="10"/>
        <v>0</v>
      </c>
      <c r="G37" s="165">
        <f t="shared" si="10"/>
        <v>0</v>
      </c>
      <c r="H37" s="165">
        <f t="shared" si="10"/>
        <v>0</v>
      </c>
      <c r="I37" s="165">
        <f t="shared" si="10"/>
        <v>0</v>
      </c>
      <c r="J37" s="165">
        <f t="shared" si="10"/>
        <v>0</v>
      </c>
      <c r="K37" s="165">
        <f t="shared" si="10"/>
        <v>0</v>
      </c>
      <c r="L37" s="165">
        <f t="shared" si="10"/>
        <v>0</v>
      </c>
      <c r="M37" s="165">
        <f t="shared" si="10"/>
        <v>0</v>
      </c>
      <c r="N37" s="165">
        <f t="shared" si="10"/>
        <v>0</v>
      </c>
      <c r="O37" s="165">
        <f t="shared" si="11"/>
        <v>0</v>
      </c>
      <c r="R37" s="1" t="s">
        <v>124</v>
      </c>
      <c r="S37" s="1" t="s">
        <v>125</v>
      </c>
      <c r="T37" s="1" t="s">
        <v>126</v>
      </c>
    </row>
    <row r="38" spans="1:21" x14ac:dyDescent="0.3">
      <c r="A38" s="159"/>
      <c r="B38" s="159"/>
      <c r="D38" s="164" t="s">
        <v>114</v>
      </c>
      <c r="E38" s="165">
        <f>E45*$F10</f>
        <v>0</v>
      </c>
      <c r="F38" s="165">
        <f t="shared" ref="F38:N40" si="12">F45*$F10</f>
        <v>0</v>
      </c>
      <c r="G38" s="165">
        <f t="shared" si="12"/>
        <v>0</v>
      </c>
      <c r="H38" s="165">
        <f t="shared" si="12"/>
        <v>0</v>
      </c>
      <c r="I38" s="165">
        <f t="shared" si="12"/>
        <v>0</v>
      </c>
      <c r="J38" s="165">
        <f t="shared" si="12"/>
        <v>0</v>
      </c>
      <c r="K38" s="165">
        <f t="shared" si="12"/>
        <v>0</v>
      </c>
      <c r="L38" s="165">
        <f t="shared" si="12"/>
        <v>0</v>
      </c>
      <c r="M38" s="165">
        <f t="shared" si="12"/>
        <v>0</v>
      </c>
      <c r="N38" s="165">
        <f t="shared" si="12"/>
        <v>0</v>
      </c>
      <c r="O38" s="165">
        <f t="shared" si="11"/>
        <v>0</v>
      </c>
      <c r="R38" s="1" t="s">
        <v>124</v>
      </c>
      <c r="S38" s="1" t="s">
        <v>127</v>
      </c>
    </row>
    <row r="39" spans="1:21" x14ac:dyDescent="0.3">
      <c r="A39" s="159"/>
      <c r="B39" s="159"/>
      <c r="D39" s="164" t="s">
        <v>107</v>
      </c>
      <c r="E39" s="165">
        <f>E46*$F11</f>
        <v>0</v>
      </c>
      <c r="F39" s="165">
        <f t="shared" si="12"/>
        <v>0</v>
      </c>
      <c r="G39" s="165">
        <f t="shared" si="12"/>
        <v>0</v>
      </c>
      <c r="H39" s="165">
        <f t="shared" si="12"/>
        <v>0</v>
      </c>
      <c r="I39" s="165">
        <f t="shared" si="12"/>
        <v>0</v>
      </c>
      <c r="J39" s="165">
        <f t="shared" si="12"/>
        <v>0</v>
      </c>
      <c r="K39" s="165">
        <f t="shared" si="12"/>
        <v>0</v>
      </c>
      <c r="L39" s="165">
        <f t="shared" si="12"/>
        <v>0</v>
      </c>
      <c r="M39" s="165">
        <f t="shared" si="12"/>
        <v>0</v>
      </c>
      <c r="N39" s="165">
        <f t="shared" si="12"/>
        <v>0</v>
      </c>
      <c r="O39" s="165">
        <f t="shared" si="11"/>
        <v>0</v>
      </c>
    </row>
    <row r="40" spans="1:21" ht="15" thickBot="1" x14ac:dyDescent="0.35">
      <c r="A40" s="159"/>
      <c r="B40" s="159"/>
      <c r="D40" s="164" t="s">
        <v>108</v>
      </c>
      <c r="E40" s="165">
        <f>E47*$F12</f>
        <v>0</v>
      </c>
      <c r="F40" s="165">
        <f t="shared" si="12"/>
        <v>0</v>
      </c>
      <c r="G40" s="165">
        <f t="shared" si="12"/>
        <v>0</v>
      </c>
      <c r="H40" s="165">
        <f t="shared" si="12"/>
        <v>0</v>
      </c>
      <c r="I40" s="165">
        <f t="shared" si="12"/>
        <v>0</v>
      </c>
      <c r="J40" s="165">
        <f t="shared" si="12"/>
        <v>0</v>
      </c>
      <c r="K40" s="165">
        <f t="shared" si="12"/>
        <v>0</v>
      </c>
      <c r="L40" s="165">
        <f t="shared" si="12"/>
        <v>0</v>
      </c>
      <c r="M40" s="165">
        <f t="shared" si="12"/>
        <v>0</v>
      </c>
      <c r="N40" s="165">
        <f t="shared" si="12"/>
        <v>0</v>
      </c>
      <c r="O40" s="165">
        <f t="shared" si="11"/>
        <v>0</v>
      </c>
    </row>
    <row r="41" spans="1:21" ht="14.7" customHeight="1" x14ac:dyDescent="0.3">
      <c r="A41" s="159"/>
      <c r="B41" s="159"/>
      <c r="D41" s="160"/>
      <c r="E41" s="164"/>
      <c r="F41" s="164"/>
      <c r="G41" s="164"/>
      <c r="H41" s="164"/>
      <c r="I41" s="164"/>
      <c r="J41" s="164"/>
      <c r="K41" s="164"/>
      <c r="L41" s="164"/>
      <c r="M41" s="164"/>
      <c r="N41" s="164"/>
      <c r="O41" s="164"/>
      <c r="R41" s="166" t="s">
        <v>128</v>
      </c>
      <c r="S41" s="167"/>
      <c r="T41" s="168" t="s">
        <v>116</v>
      </c>
      <c r="U41" s="168" t="s">
        <v>117</v>
      </c>
    </row>
    <row r="42" spans="1:21" ht="14.7" customHeight="1" thickBot="1" x14ac:dyDescent="0.35">
      <c r="A42" s="159"/>
      <c r="B42" s="159"/>
      <c r="D42" s="162" t="s">
        <v>118</v>
      </c>
      <c r="E42" s="169">
        <f t="shared" ref="E42:N42" si="13">SUM(E43:E47)</f>
        <v>0</v>
      </c>
      <c r="F42" s="169">
        <f t="shared" si="13"/>
        <v>0</v>
      </c>
      <c r="G42" s="169">
        <f t="shared" si="13"/>
        <v>0</v>
      </c>
      <c r="H42" s="169">
        <f t="shared" si="13"/>
        <v>0</v>
      </c>
      <c r="I42" s="169">
        <f t="shared" si="13"/>
        <v>0</v>
      </c>
      <c r="J42" s="169">
        <f t="shared" si="13"/>
        <v>0</v>
      </c>
      <c r="K42" s="169">
        <f t="shared" si="13"/>
        <v>0</v>
      </c>
      <c r="L42" s="169">
        <f t="shared" si="13"/>
        <v>0</v>
      </c>
      <c r="M42" s="169">
        <f t="shared" si="13"/>
        <v>0</v>
      </c>
      <c r="N42" s="169">
        <f t="shared" si="13"/>
        <v>0</v>
      </c>
      <c r="O42" s="170">
        <f>SUM(E42:N42)</f>
        <v>0</v>
      </c>
      <c r="P42" s="171">
        <f>O42/SUM($O$27+$O$42+$O$57)</f>
        <v>0</v>
      </c>
      <c r="R42" s="185"/>
      <c r="S42" s="186"/>
      <c r="T42" s="174"/>
      <c r="U42" s="175"/>
    </row>
    <row r="43" spans="1:21" x14ac:dyDescent="0.3">
      <c r="A43" s="159" t="str">
        <f>$G$3&amp;$D$34&amp;D43</f>
        <v>EEAOCT - FDDOM</v>
      </c>
      <c r="B43" s="159" t="s">
        <v>106</v>
      </c>
      <c r="D43" s="164" t="s">
        <v>106</v>
      </c>
      <c r="E43" s="176"/>
      <c r="F43" s="176"/>
      <c r="G43" s="176"/>
      <c r="H43" s="176"/>
      <c r="I43" s="176"/>
      <c r="J43" s="176"/>
      <c r="K43" s="176"/>
      <c r="L43" s="176"/>
      <c r="M43" s="176"/>
      <c r="N43" s="176"/>
      <c r="O43" s="177">
        <f t="shared" ref="O43:O47" si="14">SUM(E43:N43)</f>
        <v>0</v>
      </c>
      <c r="Q43" s="155"/>
      <c r="R43" s="187"/>
      <c r="S43" s="188"/>
      <c r="T43" s="180"/>
      <c r="U43" s="180"/>
    </row>
    <row r="44" spans="1:21" x14ac:dyDescent="0.3">
      <c r="A44" s="159" t="str">
        <f>$G$3&amp;$D$34&amp;D44</f>
        <v>EEAOCT - FDINTRA EEA - Euro</v>
      </c>
      <c r="B44" s="159" t="s">
        <v>113</v>
      </c>
      <c r="D44" s="164" t="s">
        <v>113</v>
      </c>
      <c r="E44" s="176"/>
      <c r="F44" s="176"/>
      <c r="G44" s="176"/>
      <c r="H44" s="176"/>
      <c r="I44" s="176"/>
      <c r="J44" s="176"/>
      <c r="K44" s="176"/>
      <c r="L44" s="176"/>
      <c r="M44" s="176"/>
      <c r="N44" s="176"/>
      <c r="O44" s="177">
        <f t="shared" si="14"/>
        <v>0</v>
      </c>
      <c r="Q44" s="155"/>
      <c r="R44" s="181"/>
      <c r="S44" s="189"/>
      <c r="T44" s="183"/>
      <c r="U44" s="183"/>
    </row>
    <row r="45" spans="1:21" x14ac:dyDescent="0.3">
      <c r="A45" s="159" t="str">
        <f t="shared" ref="A45:A46" si="15">$G$3&amp;$D$34&amp;D45</f>
        <v>EEAOCT - FDINTRA EEA - non Euro</v>
      </c>
      <c r="B45" s="159" t="s">
        <v>114</v>
      </c>
      <c r="D45" s="164" t="s">
        <v>114</v>
      </c>
      <c r="E45" s="176"/>
      <c r="F45" s="176"/>
      <c r="G45" s="176"/>
      <c r="H45" s="176"/>
      <c r="I45" s="176"/>
      <c r="J45" s="176"/>
      <c r="K45" s="176"/>
      <c r="L45" s="176"/>
      <c r="M45" s="176"/>
      <c r="N45" s="176"/>
      <c r="O45" s="177">
        <f t="shared" si="14"/>
        <v>0</v>
      </c>
      <c r="Q45" s="155"/>
      <c r="R45" s="181"/>
      <c r="S45" s="189"/>
      <c r="T45" s="183"/>
      <c r="U45" s="183"/>
    </row>
    <row r="46" spans="1:21" x14ac:dyDescent="0.3">
      <c r="A46" s="159" t="str">
        <f t="shared" si="15"/>
        <v>EEAOCT - FDINTRA Non-EEA</v>
      </c>
      <c r="B46" s="159" t="s">
        <v>107</v>
      </c>
      <c r="D46" s="164" t="s">
        <v>107</v>
      </c>
      <c r="E46" s="176"/>
      <c r="F46" s="176"/>
      <c r="G46" s="176"/>
      <c r="H46" s="176"/>
      <c r="I46" s="176"/>
      <c r="J46" s="176"/>
      <c r="K46" s="176"/>
      <c r="L46" s="176"/>
      <c r="M46" s="176"/>
      <c r="N46" s="176"/>
      <c r="O46" s="177">
        <f t="shared" si="14"/>
        <v>0</v>
      </c>
      <c r="R46" s="181"/>
      <c r="S46" s="189"/>
      <c r="T46" s="183"/>
      <c r="U46" s="183"/>
    </row>
    <row r="47" spans="1:21" ht="15" thickBot="1" x14ac:dyDescent="0.35">
      <c r="A47" s="159" t="str">
        <f>$G$3&amp;$D$34&amp;D47</f>
        <v>EEAOCT - FDINTER</v>
      </c>
      <c r="B47" s="159" t="s">
        <v>108</v>
      </c>
      <c r="D47" s="164" t="s">
        <v>108</v>
      </c>
      <c r="E47" s="176"/>
      <c r="F47" s="176"/>
      <c r="G47" s="176"/>
      <c r="H47" s="176"/>
      <c r="I47" s="176"/>
      <c r="J47" s="176"/>
      <c r="K47" s="176"/>
      <c r="L47" s="176"/>
      <c r="M47" s="176"/>
      <c r="N47" s="176"/>
      <c r="O47" s="177">
        <f t="shared" si="14"/>
        <v>0</v>
      </c>
      <c r="Q47" s="155"/>
      <c r="R47" s="190"/>
      <c r="S47" s="191"/>
      <c r="T47" s="192"/>
      <c r="U47" s="192"/>
    </row>
    <row r="48" spans="1:21" x14ac:dyDescent="0.3">
      <c r="A48" s="159"/>
      <c r="B48" s="159"/>
      <c r="E48" s="140"/>
      <c r="F48" s="164">
        <f>F49/E49-1</f>
        <v>1</v>
      </c>
      <c r="G48" s="164">
        <f>G49/F49-1</f>
        <v>0.5</v>
      </c>
      <c r="H48" s="164">
        <f>H49/G49-1</f>
        <v>0.33333333333333326</v>
      </c>
      <c r="I48" s="164">
        <f>I49/H49-1</f>
        <v>0.25</v>
      </c>
    </row>
    <row r="49" spans="1:21" x14ac:dyDescent="0.3">
      <c r="A49" s="159"/>
      <c r="B49" s="159"/>
      <c r="D49" s="160" t="s">
        <v>101</v>
      </c>
      <c r="E49" s="161">
        <v>1</v>
      </c>
      <c r="F49" s="161">
        <v>2</v>
      </c>
      <c r="G49" s="161">
        <v>3</v>
      </c>
      <c r="H49" s="161">
        <v>4</v>
      </c>
      <c r="I49" s="161">
        <v>5</v>
      </c>
      <c r="J49" s="161">
        <v>6</v>
      </c>
      <c r="K49" s="161">
        <v>7</v>
      </c>
      <c r="L49" s="161">
        <v>8</v>
      </c>
      <c r="M49" s="161">
        <v>9</v>
      </c>
      <c r="N49" s="161">
        <v>10</v>
      </c>
      <c r="O49" s="161" t="s">
        <v>111</v>
      </c>
    </row>
    <row r="50" spans="1:21" x14ac:dyDescent="0.3">
      <c r="A50" s="159"/>
      <c r="B50" s="159"/>
      <c r="D50" s="162" t="s">
        <v>112</v>
      </c>
      <c r="E50" s="163">
        <f>SUM(E51:E55)</f>
        <v>46523100</v>
      </c>
      <c r="F50" s="163">
        <f t="shared" ref="F50:N50" si="16">SUM(F51:F55)</f>
        <v>76839320.085816741</v>
      </c>
      <c r="G50" s="163">
        <f t="shared" si="16"/>
        <v>129199828.20143759</v>
      </c>
      <c r="H50" s="163">
        <f t="shared" si="16"/>
        <v>182481837.3517105</v>
      </c>
      <c r="I50" s="163">
        <f t="shared" si="16"/>
        <v>268476403.20370418</v>
      </c>
      <c r="J50" s="163">
        <f t="shared" si="16"/>
        <v>0</v>
      </c>
      <c r="K50" s="163">
        <f t="shared" si="16"/>
        <v>0</v>
      </c>
      <c r="L50" s="163">
        <f t="shared" si="16"/>
        <v>0</v>
      </c>
      <c r="M50" s="163">
        <f t="shared" si="16"/>
        <v>0</v>
      </c>
      <c r="N50" s="163">
        <f t="shared" si="16"/>
        <v>0</v>
      </c>
      <c r="O50" s="163">
        <f>SUM(E50:N50)</f>
        <v>703520488.84266901</v>
      </c>
    </row>
    <row r="51" spans="1:21" x14ac:dyDescent="0.3">
      <c r="A51" s="159"/>
      <c r="B51" s="159"/>
      <c r="D51" s="164" t="s">
        <v>106</v>
      </c>
      <c r="E51" s="165">
        <f t="shared" ref="E51:N52" si="17">E58*$G9</f>
        <v>41789250</v>
      </c>
      <c r="F51" s="165">
        <f t="shared" si="17"/>
        <v>69020713.514280379</v>
      </c>
      <c r="G51" s="165">
        <f t="shared" si="17"/>
        <v>116053399.72329715</v>
      </c>
      <c r="H51" s="165">
        <f t="shared" si="17"/>
        <v>163913821.76918495</v>
      </c>
      <c r="I51" s="165">
        <f t="shared" si="17"/>
        <v>241158210.27791342</v>
      </c>
      <c r="J51" s="165">
        <f t="shared" si="17"/>
        <v>0</v>
      </c>
      <c r="K51" s="165">
        <f t="shared" si="17"/>
        <v>0</v>
      </c>
      <c r="L51" s="165">
        <f t="shared" si="17"/>
        <v>0</v>
      </c>
      <c r="M51" s="165">
        <f t="shared" si="17"/>
        <v>0</v>
      </c>
      <c r="N51" s="165">
        <f t="shared" si="17"/>
        <v>0</v>
      </c>
      <c r="O51" s="165">
        <f t="shared" ref="O51:O55" si="18">SUM(E51:N51)</f>
        <v>631935395.28467596</v>
      </c>
    </row>
    <row r="52" spans="1:21" x14ac:dyDescent="0.3">
      <c r="A52" s="159"/>
      <c r="B52" s="159"/>
      <c r="D52" s="164" t="s">
        <v>113</v>
      </c>
      <c r="E52" s="165">
        <f t="shared" si="17"/>
        <v>0</v>
      </c>
      <c r="F52" s="165">
        <f t="shared" si="17"/>
        <v>0</v>
      </c>
      <c r="G52" s="165">
        <f t="shared" si="17"/>
        <v>0</v>
      </c>
      <c r="H52" s="165">
        <f t="shared" si="17"/>
        <v>0</v>
      </c>
      <c r="I52" s="165">
        <f t="shared" si="17"/>
        <v>0</v>
      </c>
      <c r="J52" s="165">
        <f t="shared" si="17"/>
        <v>0</v>
      </c>
      <c r="K52" s="165">
        <f t="shared" si="17"/>
        <v>0</v>
      </c>
      <c r="L52" s="165">
        <f t="shared" si="17"/>
        <v>0</v>
      </c>
      <c r="M52" s="165">
        <f t="shared" si="17"/>
        <v>0</v>
      </c>
      <c r="N52" s="165">
        <f t="shared" si="17"/>
        <v>0</v>
      </c>
      <c r="O52" s="165">
        <f t="shared" si="18"/>
        <v>0</v>
      </c>
    </row>
    <row r="53" spans="1:21" x14ac:dyDescent="0.3">
      <c r="A53" s="159"/>
      <c r="B53" s="159"/>
      <c r="D53" s="164" t="s">
        <v>114</v>
      </c>
      <c r="E53" s="165">
        <f t="shared" ref="E53:N55" si="19">E60*$G10</f>
        <v>0</v>
      </c>
      <c r="F53" s="165">
        <f t="shared" si="19"/>
        <v>0</v>
      </c>
      <c r="G53" s="165">
        <f t="shared" si="19"/>
        <v>0</v>
      </c>
      <c r="H53" s="165">
        <f t="shared" si="19"/>
        <v>0</v>
      </c>
      <c r="I53" s="165">
        <f t="shared" si="19"/>
        <v>0</v>
      </c>
      <c r="J53" s="165">
        <f t="shared" si="19"/>
        <v>0</v>
      </c>
      <c r="K53" s="165">
        <f t="shared" si="19"/>
        <v>0</v>
      </c>
      <c r="L53" s="165">
        <f t="shared" si="19"/>
        <v>0</v>
      </c>
      <c r="M53" s="165">
        <f t="shared" si="19"/>
        <v>0</v>
      </c>
      <c r="N53" s="165">
        <f t="shared" si="19"/>
        <v>0</v>
      </c>
      <c r="O53" s="165">
        <f t="shared" si="18"/>
        <v>0</v>
      </c>
    </row>
    <row r="54" spans="1:21" x14ac:dyDescent="0.3">
      <c r="A54" s="159"/>
      <c r="B54" s="159"/>
      <c r="D54" s="164" t="s">
        <v>107</v>
      </c>
      <c r="E54" s="165">
        <f t="shared" si="19"/>
        <v>4733850</v>
      </c>
      <c r="F54" s="165">
        <f t="shared" si="19"/>
        <v>7818606.5715363678</v>
      </c>
      <c r="G54" s="165">
        <f t="shared" si="19"/>
        <v>13146428.478140436</v>
      </c>
      <c r="H54" s="165">
        <f t="shared" si="19"/>
        <v>18568015.582525559</v>
      </c>
      <c r="I54" s="165">
        <f t="shared" si="19"/>
        <v>27318192.925790735</v>
      </c>
      <c r="J54" s="165">
        <f t="shared" si="19"/>
        <v>0</v>
      </c>
      <c r="K54" s="165">
        <f t="shared" si="19"/>
        <v>0</v>
      </c>
      <c r="L54" s="165">
        <f t="shared" si="19"/>
        <v>0</v>
      </c>
      <c r="M54" s="165">
        <f t="shared" si="19"/>
        <v>0</v>
      </c>
      <c r="N54" s="165">
        <f t="shared" si="19"/>
        <v>0</v>
      </c>
      <c r="O54" s="165">
        <f t="shared" si="18"/>
        <v>71585093.557993099</v>
      </c>
    </row>
    <row r="55" spans="1:21" ht="15" thickBot="1" x14ac:dyDescent="0.35">
      <c r="A55" s="159"/>
      <c r="B55" s="159"/>
      <c r="D55" s="164" t="s">
        <v>108</v>
      </c>
      <c r="E55" s="165">
        <f t="shared" si="19"/>
        <v>0</v>
      </c>
      <c r="F55" s="165">
        <f t="shared" si="19"/>
        <v>0</v>
      </c>
      <c r="G55" s="165">
        <f t="shared" si="19"/>
        <v>0</v>
      </c>
      <c r="H55" s="165">
        <f t="shared" si="19"/>
        <v>0</v>
      </c>
      <c r="I55" s="165">
        <f t="shared" si="19"/>
        <v>0</v>
      </c>
      <c r="J55" s="165">
        <f t="shared" si="19"/>
        <v>0</v>
      </c>
      <c r="K55" s="165">
        <f t="shared" si="19"/>
        <v>0</v>
      </c>
      <c r="L55" s="165">
        <f t="shared" si="19"/>
        <v>0</v>
      </c>
      <c r="M55" s="165">
        <f t="shared" si="19"/>
        <v>0</v>
      </c>
      <c r="N55" s="165">
        <f t="shared" si="19"/>
        <v>0</v>
      </c>
      <c r="O55" s="165">
        <f t="shared" si="18"/>
        <v>0</v>
      </c>
    </row>
    <row r="56" spans="1:21" ht="14.7" customHeight="1" x14ac:dyDescent="0.3">
      <c r="A56" s="159"/>
      <c r="B56" s="159"/>
      <c r="D56" s="160"/>
      <c r="E56" s="164"/>
      <c r="F56" s="164">
        <f>F57/E57-1</f>
        <v>0.65163800533104532</v>
      </c>
      <c r="G56" s="164">
        <f>G57/F57-1</f>
        <v>0.68142857142857127</v>
      </c>
      <c r="H56" s="164">
        <f>H57/G57-1</f>
        <v>0.41240000000000054</v>
      </c>
      <c r="I56" s="164">
        <f>I57/H57-1</f>
        <v>0.47125000000000061</v>
      </c>
      <c r="J56" s="164"/>
      <c r="K56" s="164"/>
      <c r="L56" s="164"/>
      <c r="M56" s="164"/>
      <c r="N56" s="164"/>
      <c r="O56" s="164"/>
      <c r="R56" s="166" t="s">
        <v>129</v>
      </c>
      <c r="S56" s="167"/>
      <c r="T56" s="168" t="s">
        <v>116</v>
      </c>
      <c r="U56" s="168" t="s">
        <v>117</v>
      </c>
    </row>
    <row r="57" spans="1:21" ht="14.7" customHeight="1" thickBot="1" x14ac:dyDescent="0.35">
      <c r="A57" s="159"/>
      <c r="B57" s="159"/>
      <c r="D57" s="162" t="s">
        <v>118</v>
      </c>
      <c r="E57" s="169">
        <f>SUM(E58:E62)</f>
        <v>226500</v>
      </c>
      <c r="F57" s="169">
        <f t="shared" ref="F57:N57" si="20">SUM(F58:F62)</f>
        <v>374096.00820748176</v>
      </c>
      <c r="G57" s="169">
        <f t="shared" si="20"/>
        <v>629015.71665743715</v>
      </c>
      <c r="H57" s="169">
        <f t="shared" si="20"/>
        <v>888421.79820696451</v>
      </c>
      <c r="I57" s="169">
        <f t="shared" si="20"/>
        <v>1307090.570611997</v>
      </c>
      <c r="J57" s="169">
        <f t="shared" si="20"/>
        <v>0</v>
      </c>
      <c r="K57" s="169">
        <f t="shared" si="20"/>
        <v>0</v>
      </c>
      <c r="L57" s="169">
        <f t="shared" si="20"/>
        <v>0</v>
      </c>
      <c r="M57" s="169">
        <f t="shared" si="20"/>
        <v>0</v>
      </c>
      <c r="N57" s="169">
        <f t="shared" si="20"/>
        <v>0</v>
      </c>
      <c r="O57" s="170">
        <f>SUM(E57:N57)</f>
        <v>3425124.0936838803</v>
      </c>
      <c r="P57" s="171">
        <f>O57/SUM($O$27+$O$42+$O$57)</f>
        <v>0.23076923076923078</v>
      </c>
      <c r="R57" s="185"/>
      <c r="S57" s="186"/>
      <c r="T57" s="174"/>
      <c r="U57" s="174"/>
    </row>
    <row r="58" spans="1:21" x14ac:dyDescent="0.3">
      <c r="A58" s="159" t="str">
        <f>$G$3&amp;$D$49&amp;D58</f>
        <v>EEAAFT - PP &amp; AADOM</v>
      </c>
      <c r="B58" s="159" t="s">
        <v>106</v>
      </c>
      <c r="D58" s="164" t="s">
        <v>106</v>
      </c>
      <c r="E58" s="176">
        <v>203850</v>
      </c>
      <c r="F58" s="176">
        <v>336686.40738673357</v>
      </c>
      <c r="G58" s="176">
        <v>566114.14499169344</v>
      </c>
      <c r="H58" s="176">
        <v>799579.61838626803</v>
      </c>
      <c r="I58" s="176">
        <v>1176381.5135507972</v>
      </c>
      <c r="J58" s="176"/>
      <c r="K58" s="176"/>
      <c r="L58" s="176"/>
      <c r="M58" s="176"/>
      <c r="N58" s="176"/>
      <c r="O58" s="177">
        <f t="shared" ref="O58:O62" si="21">SUM(E58:N58)</f>
        <v>3082611.6843154924</v>
      </c>
      <c r="R58" s="187" t="s">
        <v>124</v>
      </c>
      <c r="S58" s="193" t="s">
        <v>127</v>
      </c>
      <c r="T58" s="194" t="s">
        <v>121</v>
      </c>
      <c r="U58" s="188" t="s">
        <v>122</v>
      </c>
    </row>
    <row r="59" spans="1:21" x14ac:dyDescent="0.3">
      <c r="A59" s="159" t="str">
        <f>$G$3&amp;$D$49&amp;D59</f>
        <v>EEAAFT - PP &amp; AAINTRA EEA - Euro</v>
      </c>
      <c r="B59" s="159" t="s">
        <v>113</v>
      </c>
      <c r="D59" s="164" t="s">
        <v>113</v>
      </c>
      <c r="E59" s="176"/>
      <c r="F59" s="176"/>
      <c r="G59" s="176"/>
      <c r="H59" s="176"/>
      <c r="I59" s="176"/>
      <c r="J59" s="176"/>
      <c r="K59" s="176"/>
      <c r="L59" s="176"/>
      <c r="M59" s="176"/>
      <c r="N59" s="176"/>
      <c r="O59" s="177">
        <f t="shared" si="21"/>
        <v>0</v>
      </c>
      <c r="R59" s="181"/>
      <c r="S59" s="182"/>
      <c r="T59" s="195"/>
      <c r="U59" s="189"/>
    </row>
    <row r="60" spans="1:21" ht="15" thickBot="1" x14ac:dyDescent="0.35">
      <c r="A60" s="159" t="str">
        <f>$G$3&amp;$D$49&amp;D60</f>
        <v>EEAAFT - PP &amp; AAINTRA EEA - non Euro</v>
      </c>
      <c r="B60" s="159" t="s">
        <v>114</v>
      </c>
      <c r="D60" s="164" t="s">
        <v>114</v>
      </c>
      <c r="E60" s="176"/>
      <c r="F60" s="176"/>
      <c r="G60" s="176"/>
      <c r="H60" s="176"/>
      <c r="I60" s="176"/>
      <c r="J60" s="176"/>
      <c r="K60" s="176"/>
      <c r="L60" s="176"/>
      <c r="M60" s="176"/>
      <c r="N60" s="176"/>
      <c r="O60" s="177">
        <f t="shared" si="21"/>
        <v>0</v>
      </c>
      <c r="R60" s="181"/>
      <c r="S60" s="182"/>
      <c r="T60" s="195"/>
      <c r="U60" s="189"/>
    </row>
    <row r="61" spans="1:21" x14ac:dyDescent="0.3">
      <c r="A61" s="159" t="str">
        <f>$G$3&amp;$D$49&amp;D61</f>
        <v>EEAAFT - PP &amp; AAINTRA Non-EEA</v>
      </c>
      <c r="B61" s="159" t="s">
        <v>107</v>
      </c>
      <c r="D61" s="164" t="s">
        <v>107</v>
      </c>
      <c r="E61" s="176">
        <v>22650</v>
      </c>
      <c r="F61" s="176">
        <v>37409.600820748172</v>
      </c>
      <c r="G61" s="176">
        <v>62901.571665743715</v>
      </c>
      <c r="H61" s="176">
        <v>88842.17982069646</v>
      </c>
      <c r="I61" s="176">
        <v>130709.05706119968</v>
      </c>
      <c r="J61" s="176"/>
      <c r="K61" s="176"/>
      <c r="L61" s="176"/>
      <c r="M61" s="176"/>
      <c r="N61" s="176"/>
      <c r="O61" s="177">
        <f t="shared" si="21"/>
        <v>342512.40936838801</v>
      </c>
      <c r="R61" s="187" t="s">
        <v>124</v>
      </c>
      <c r="S61" s="193" t="s">
        <v>127</v>
      </c>
      <c r="T61" s="195"/>
      <c r="U61" s="189"/>
    </row>
    <row r="62" spans="1:21" ht="15" thickBot="1" x14ac:dyDescent="0.35">
      <c r="A62" s="159" t="str">
        <f>$G$3&amp;$D$49&amp;D62</f>
        <v>EEAAFT - PP &amp; AAINTER</v>
      </c>
      <c r="B62" s="159" t="s">
        <v>108</v>
      </c>
      <c r="D62" s="164" t="s">
        <v>108</v>
      </c>
      <c r="E62" s="176"/>
      <c r="F62" s="176"/>
      <c r="G62" s="176"/>
      <c r="H62" s="176"/>
      <c r="I62" s="176"/>
      <c r="J62" s="176"/>
      <c r="K62" s="176"/>
      <c r="L62" s="176"/>
      <c r="M62" s="176"/>
      <c r="N62" s="176"/>
      <c r="O62" s="177">
        <f t="shared" si="21"/>
        <v>0</v>
      </c>
      <c r="R62" s="190"/>
      <c r="S62" s="196"/>
      <c r="T62" s="197"/>
      <c r="U62" s="191"/>
    </row>
    <row r="63" spans="1:21" x14ac:dyDescent="0.3">
      <c r="A63" s="159"/>
      <c r="B63" s="159"/>
    </row>
    <row r="64" spans="1:21" x14ac:dyDescent="0.3">
      <c r="A64" s="159"/>
      <c r="B64" s="159"/>
      <c r="D64" s="160" t="s">
        <v>102</v>
      </c>
      <c r="E64" s="161">
        <v>1</v>
      </c>
      <c r="F64" s="161">
        <v>2</v>
      </c>
      <c r="G64" s="161">
        <v>3</v>
      </c>
      <c r="H64" s="161">
        <v>4</v>
      </c>
      <c r="I64" s="161">
        <v>5</v>
      </c>
      <c r="J64" s="161">
        <v>6</v>
      </c>
      <c r="K64" s="161">
        <v>7</v>
      </c>
      <c r="L64" s="161">
        <v>8</v>
      </c>
      <c r="M64" s="161">
        <v>9</v>
      </c>
      <c r="N64" s="161">
        <v>10</v>
      </c>
      <c r="O64" s="161" t="s">
        <v>111</v>
      </c>
    </row>
    <row r="65" spans="1:21" x14ac:dyDescent="0.3">
      <c r="A65" s="159"/>
      <c r="B65" s="159"/>
      <c r="D65" s="162" t="s">
        <v>112</v>
      </c>
      <c r="E65" s="163">
        <f>SUM(E66:E69)</f>
        <v>0</v>
      </c>
      <c r="F65" s="163">
        <f t="shared" ref="F65:N65" si="22">SUM(F66:F69)</f>
        <v>0</v>
      </c>
      <c r="G65" s="163">
        <f t="shared" si="22"/>
        <v>0</v>
      </c>
      <c r="H65" s="163">
        <f t="shared" si="22"/>
        <v>0</v>
      </c>
      <c r="I65" s="163">
        <f t="shared" si="22"/>
        <v>0</v>
      </c>
      <c r="J65" s="163">
        <f t="shared" si="22"/>
        <v>0</v>
      </c>
      <c r="K65" s="163">
        <f t="shared" si="22"/>
        <v>0</v>
      </c>
      <c r="L65" s="163">
        <f t="shared" si="22"/>
        <v>0</v>
      </c>
      <c r="M65" s="163">
        <f t="shared" si="22"/>
        <v>0</v>
      </c>
      <c r="N65" s="163">
        <f t="shared" si="22"/>
        <v>0</v>
      </c>
      <c r="O65" s="163">
        <f>SUM(E65:N65)</f>
        <v>0</v>
      </c>
    </row>
    <row r="66" spans="1:21" x14ac:dyDescent="0.3">
      <c r="A66" s="159"/>
      <c r="B66" s="159"/>
      <c r="D66" s="164" t="s">
        <v>106</v>
      </c>
      <c r="E66" s="165">
        <f t="shared" ref="E66:N69" si="23">E72*$H9</f>
        <v>0</v>
      </c>
      <c r="F66" s="165">
        <f t="shared" si="23"/>
        <v>0</v>
      </c>
      <c r="G66" s="165">
        <f t="shared" si="23"/>
        <v>0</v>
      </c>
      <c r="H66" s="165">
        <f t="shared" si="23"/>
        <v>0</v>
      </c>
      <c r="I66" s="165">
        <f t="shared" si="23"/>
        <v>0</v>
      </c>
      <c r="J66" s="165">
        <f t="shared" si="23"/>
        <v>0</v>
      </c>
      <c r="K66" s="165">
        <f t="shared" si="23"/>
        <v>0</v>
      </c>
      <c r="L66" s="165">
        <f t="shared" si="23"/>
        <v>0</v>
      </c>
      <c r="M66" s="165">
        <f t="shared" si="23"/>
        <v>0</v>
      </c>
      <c r="N66" s="165">
        <f t="shared" si="23"/>
        <v>0</v>
      </c>
      <c r="O66" s="165">
        <f t="shared" ref="O66:O69" si="24">SUM(E66:N66)</f>
        <v>0</v>
      </c>
    </row>
    <row r="67" spans="1:21" x14ac:dyDescent="0.3">
      <c r="A67" s="159"/>
      <c r="B67" s="159"/>
      <c r="D67" s="164" t="s">
        <v>76</v>
      </c>
      <c r="E67" s="165">
        <f t="shared" si="23"/>
        <v>0</v>
      </c>
      <c r="F67" s="165">
        <f t="shared" si="23"/>
        <v>0</v>
      </c>
      <c r="G67" s="165">
        <f t="shared" si="23"/>
        <v>0</v>
      </c>
      <c r="H67" s="165">
        <f t="shared" si="23"/>
        <v>0</v>
      </c>
      <c r="I67" s="165">
        <f t="shared" si="23"/>
        <v>0</v>
      </c>
      <c r="J67" s="165">
        <f t="shared" si="23"/>
        <v>0</v>
      </c>
      <c r="K67" s="165">
        <f t="shared" si="23"/>
        <v>0</v>
      </c>
      <c r="L67" s="165">
        <f t="shared" si="23"/>
        <v>0</v>
      </c>
      <c r="M67" s="165">
        <f t="shared" si="23"/>
        <v>0</v>
      </c>
      <c r="N67" s="165">
        <f t="shared" si="23"/>
        <v>0</v>
      </c>
      <c r="O67" s="165">
        <f t="shared" si="24"/>
        <v>0</v>
      </c>
    </row>
    <row r="68" spans="1:21" x14ac:dyDescent="0.3">
      <c r="A68" s="159"/>
      <c r="B68" s="159"/>
      <c r="D68" s="164" t="s">
        <v>107</v>
      </c>
      <c r="E68" s="165">
        <f t="shared" si="23"/>
        <v>0</v>
      </c>
      <c r="F68" s="165">
        <f t="shared" si="23"/>
        <v>0</v>
      </c>
      <c r="G68" s="165">
        <f t="shared" si="23"/>
        <v>0</v>
      </c>
      <c r="H68" s="165">
        <f t="shared" si="23"/>
        <v>0</v>
      </c>
      <c r="I68" s="165">
        <f t="shared" si="23"/>
        <v>0</v>
      </c>
      <c r="J68" s="165">
        <f t="shared" si="23"/>
        <v>0</v>
      </c>
      <c r="K68" s="165">
        <f t="shared" si="23"/>
        <v>0</v>
      </c>
      <c r="L68" s="165">
        <f t="shared" si="23"/>
        <v>0</v>
      </c>
      <c r="M68" s="165">
        <f t="shared" si="23"/>
        <v>0</v>
      </c>
      <c r="N68" s="165">
        <f t="shared" si="23"/>
        <v>0</v>
      </c>
      <c r="O68" s="165">
        <f t="shared" si="24"/>
        <v>0</v>
      </c>
    </row>
    <row r="69" spans="1:21" ht="15" thickBot="1" x14ac:dyDescent="0.35">
      <c r="A69" s="159"/>
      <c r="B69" s="159"/>
      <c r="D69" s="164" t="s">
        <v>108</v>
      </c>
      <c r="E69" s="165">
        <f t="shared" si="23"/>
        <v>0</v>
      </c>
      <c r="F69" s="165">
        <f t="shared" si="23"/>
        <v>0</v>
      </c>
      <c r="G69" s="165">
        <f t="shared" si="23"/>
        <v>0</v>
      </c>
      <c r="H69" s="165">
        <f t="shared" si="23"/>
        <v>0</v>
      </c>
      <c r="I69" s="165">
        <f t="shared" si="23"/>
        <v>0</v>
      </c>
      <c r="J69" s="165">
        <f t="shared" si="23"/>
        <v>0</v>
      </c>
      <c r="K69" s="165">
        <f t="shared" si="23"/>
        <v>0</v>
      </c>
      <c r="L69" s="165">
        <f t="shared" si="23"/>
        <v>0</v>
      </c>
      <c r="M69" s="165">
        <f t="shared" si="23"/>
        <v>0</v>
      </c>
      <c r="N69" s="165">
        <f t="shared" si="23"/>
        <v>0</v>
      </c>
      <c r="O69" s="165">
        <f t="shared" si="24"/>
        <v>0</v>
      </c>
    </row>
    <row r="70" spans="1:21" x14ac:dyDescent="0.3">
      <c r="A70" s="159"/>
      <c r="B70" s="159"/>
      <c r="D70" s="160"/>
      <c r="E70" s="164"/>
      <c r="F70" s="164"/>
      <c r="G70" s="164"/>
      <c r="H70" s="164"/>
      <c r="I70" s="164"/>
      <c r="J70" s="164"/>
      <c r="K70" s="164"/>
      <c r="L70" s="164"/>
      <c r="M70" s="164"/>
      <c r="N70" s="164"/>
      <c r="O70" s="164"/>
      <c r="R70" s="166" t="s">
        <v>129</v>
      </c>
      <c r="S70" s="167"/>
      <c r="T70" s="168" t="s">
        <v>116</v>
      </c>
      <c r="U70" s="168" t="s">
        <v>117</v>
      </c>
    </row>
    <row r="71" spans="1:21" ht="15" thickBot="1" x14ac:dyDescent="0.35">
      <c r="A71" s="159"/>
      <c r="B71" s="159"/>
      <c r="D71" s="162" t="s">
        <v>118</v>
      </c>
      <c r="E71" s="169">
        <f>SUM(E72:E75)</f>
        <v>0</v>
      </c>
      <c r="F71" s="169">
        <f t="shared" ref="F71:N71" si="25">SUM(F72:F75)</f>
        <v>0</v>
      </c>
      <c r="G71" s="169">
        <f t="shared" si="25"/>
        <v>0</v>
      </c>
      <c r="H71" s="169">
        <f t="shared" si="25"/>
        <v>0</v>
      </c>
      <c r="I71" s="169">
        <f t="shared" si="25"/>
        <v>0</v>
      </c>
      <c r="J71" s="169">
        <f t="shared" si="25"/>
        <v>0</v>
      </c>
      <c r="K71" s="169">
        <f t="shared" si="25"/>
        <v>0</v>
      </c>
      <c r="L71" s="169">
        <f t="shared" si="25"/>
        <v>0</v>
      </c>
      <c r="M71" s="169">
        <f t="shared" si="25"/>
        <v>0</v>
      </c>
      <c r="N71" s="169">
        <f t="shared" si="25"/>
        <v>0</v>
      </c>
      <c r="O71" s="170">
        <f>SUM(E71:N71)</f>
        <v>0</v>
      </c>
      <c r="P71" s="171">
        <f>O71/SUM($O$27+$O$42+$O$57)</f>
        <v>0</v>
      </c>
      <c r="R71" s="185"/>
      <c r="S71" s="186"/>
      <c r="T71" s="174"/>
      <c r="U71" s="174"/>
    </row>
    <row r="72" spans="1:21" x14ac:dyDescent="0.3">
      <c r="A72" s="159" t="str">
        <f>$G$3&amp;$D$64&amp;D72</f>
        <v>EEAAFT - FD &amp; LADOM</v>
      </c>
      <c r="B72" s="159" t="s">
        <v>106</v>
      </c>
      <c r="D72" s="164" t="s">
        <v>106</v>
      </c>
      <c r="E72" s="176"/>
      <c r="F72" s="176"/>
      <c r="G72" s="176"/>
      <c r="H72" s="176"/>
      <c r="I72" s="176"/>
      <c r="J72" s="176"/>
      <c r="K72" s="176"/>
      <c r="L72" s="176"/>
      <c r="M72" s="176"/>
      <c r="N72" s="176"/>
      <c r="O72" s="177">
        <f t="shared" ref="O72:O75" si="26">SUM(E72:N72)</f>
        <v>0</v>
      </c>
      <c r="R72" s="187"/>
      <c r="S72" s="193"/>
      <c r="T72" s="194"/>
      <c r="U72" s="188"/>
    </row>
    <row r="73" spans="1:21" x14ac:dyDescent="0.3">
      <c r="A73" s="159" t="str">
        <f>$G$3&amp;$D$64&amp;D73</f>
        <v>EEAAFT - FD &amp; LAINTRA EEA</v>
      </c>
      <c r="B73" s="159" t="s">
        <v>76</v>
      </c>
      <c r="D73" s="164" t="s">
        <v>76</v>
      </c>
      <c r="E73" s="176"/>
      <c r="F73" s="176"/>
      <c r="G73" s="176"/>
      <c r="H73" s="176"/>
      <c r="I73" s="176"/>
      <c r="J73" s="176"/>
      <c r="K73" s="176"/>
      <c r="L73" s="176"/>
      <c r="M73" s="176"/>
      <c r="N73" s="176"/>
      <c r="O73" s="177">
        <f t="shared" si="26"/>
        <v>0</v>
      </c>
      <c r="R73" s="181"/>
      <c r="S73" s="182"/>
      <c r="T73" s="195"/>
      <c r="U73" s="189"/>
    </row>
    <row r="74" spans="1:21" x14ac:dyDescent="0.3">
      <c r="A74" s="159" t="str">
        <f>$G$3&amp;$D$64&amp;D74</f>
        <v>EEAAFT - FD &amp; LAINTRA Non-EEA</v>
      </c>
      <c r="B74" s="159" t="s">
        <v>107</v>
      </c>
      <c r="D74" s="164" t="s">
        <v>107</v>
      </c>
      <c r="E74" s="176"/>
      <c r="F74" s="176"/>
      <c r="G74" s="176"/>
      <c r="H74" s="176"/>
      <c r="I74" s="176"/>
      <c r="J74" s="176"/>
      <c r="K74" s="176"/>
      <c r="L74" s="176"/>
      <c r="M74" s="176"/>
      <c r="N74" s="176"/>
      <c r="O74" s="177">
        <f t="shared" si="26"/>
        <v>0</v>
      </c>
      <c r="R74" s="181"/>
      <c r="S74" s="182"/>
      <c r="T74" s="195"/>
      <c r="U74" s="189"/>
    </row>
    <row r="75" spans="1:21" ht="15" thickBot="1" x14ac:dyDescent="0.35">
      <c r="A75" s="159" t="str">
        <f>$G$3&amp;$D$64&amp;D75</f>
        <v>EEAAFT - FD &amp; LAINTER</v>
      </c>
      <c r="B75" s="159" t="s">
        <v>108</v>
      </c>
      <c r="D75" s="164" t="s">
        <v>108</v>
      </c>
      <c r="E75" s="176"/>
      <c r="F75" s="176"/>
      <c r="G75" s="176"/>
      <c r="H75" s="176"/>
      <c r="I75" s="176"/>
      <c r="J75" s="176"/>
      <c r="K75" s="176"/>
      <c r="L75" s="176"/>
      <c r="M75" s="176"/>
      <c r="N75" s="176"/>
      <c r="O75" s="177">
        <f t="shared" si="26"/>
        <v>0</v>
      </c>
      <c r="R75" s="190"/>
      <c r="S75" s="196"/>
      <c r="T75" s="197"/>
      <c r="U75" s="191"/>
    </row>
    <row r="76" spans="1:21" x14ac:dyDescent="0.3">
      <c r="A76" s="159"/>
      <c r="B76" s="159"/>
    </row>
    <row r="77" spans="1:21" x14ac:dyDescent="0.3">
      <c r="A77" s="159"/>
      <c r="B77" s="159"/>
      <c r="D77" s="160" t="s">
        <v>111</v>
      </c>
      <c r="E77" s="161">
        <v>1</v>
      </c>
      <c r="F77" s="161">
        <v>2</v>
      </c>
      <c r="G77" s="161">
        <v>3</v>
      </c>
      <c r="H77" s="161">
        <v>4</v>
      </c>
      <c r="I77" s="161">
        <v>5</v>
      </c>
      <c r="J77" s="161">
        <v>6</v>
      </c>
      <c r="K77" s="161">
        <v>7</v>
      </c>
      <c r="L77" s="161">
        <v>8</v>
      </c>
      <c r="M77" s="161">
        <v>9</v>
      </c>
      <c r="N77" s="161">
        <v>10</v>
      </c>
      <c r="O77" s="161" t="s">
        <v>111</v>
      </c>
    </row>
    <row r="78" spans="1:21" x14ac:dyDescent="0.3">
      <c r="A78" s="159"/>
      <c r="B78" s="159"/>
      <c r="D78" s="162" t="s">
        <v>112</v>
      </c>
      <c r="E78" s="163">
        <f>SUM(E79:E82)</f>
        <v>195747846.32361245</v>
      </c>
      <c r="F78" s="163">
        <f t="shared" ref="F78:N78" si="27">SUM(F79:F82)</f>
        <v>316205408.16965616</v>
      </c>
      <c r="G78" s="163">
        <f t="shared" si="27"/>
        <v>519962465.71269333</v>
      </c>
      <c r="H78" s="163">
        <f t="shared" si="27"/>
        <v>734394986.57260823</v>
      </c>
      <c r="I78" s="163">
        <f t="shared" si="27"/>
        <v>1075610158.6784201</v>
      </c>
      <c r="J78" s="163">
        <f t="shared" si="27"/>
        <v>0</v>
      </c>
      <c r="K78" s="163">
        <f t="shared" si="27"/>
        <v>0</v>
      </c>
      <c r="L78" s="163">
        <f t="shared" si="27"/>
        <v>0</v>
      </c>
      <c r="M78" s="163">
        <f t="shared" si="27"/>
        <v>0</v>
      </c>
      <c r="N78" s="163">
        <f t="shared" si="27"/>
        <v>0</v>
      </c>
      <c r="O78" s="163">
        <f>SUM(E78:N78)</f>
        <v>2841920865.4569902</v>
      </c>
    </row>
    <row r="79" spans="1:21" x14ac:dyDescent="0.3">
      <c r="A79" s="159"/>
      <c r="B79" s="159"/>
      <c r="D79" s="164" t="s">
        <v>106</v>
      </c>
      <c r="E79" s="163">
        <f t="shared" ref="E79:N79" si="28">E51+E36+E21+E66</f>
        <v>164387510.63385212</v>
      </c>
      <c r="F79" s="163">
        <f t="shared" si="28"/>
        <v>245161076.18674207</v>
      </c>
      <c r="G79" s="163">
        <f t="shared" si="28"/>
        <v>368710424.87056488</v>
      </c>
      <c r="H79" s="163">
        <f t="shared" si="28"/>
        <v>520766604.08718598</v>
      </c>
      <c r="I79" s="163">
        <f t="shared" si="28"/>
        <v>748094995.08759046</v>
      </c>
      <c r="J79" s="163">
        <f t="shared" si="28"/>
        <v>0</v>
      </c>
      <c r="K79" s="163">
        <f t="shared" si="28"/>
        <v>0</v>
      </c>
      <c r="L79" s="163">
        <f t="shared" si="28"/>
        <v>0</v>
      </c>
      <c r="M79" s="163">
        <f t="shared" si="28"/>
        <v>0</v>
      </c>
      <c r="N79" s="163">
        <f t="shared" si="28"/>
        <v>0</v>
      </c>
      <c r="O79" s="163">
        <f t="shared" ref="O79:O82" si="29">SUM(E79:N79)</f>
        <v>2047120610.8659356</v>
      </c>
    </row>
    <row r="80" spans="1:21" x14ac:dyDescent="0.3">
      <c r="A80" s="159" t="str">
        <f>$G$3&amp;$D$77&amp;D85</f>
        <v>EEATotalDOM</v>
      </c>
      <c r="B80" s="159" t="s">
        <v>106</v>
      </c>
      <c r="D80" s="164" t="s">
        <v>76</v>
      </c>
      <c r="E80" s="163">
        <f>SUM(E22:E23,E37:E38,E52:E53,E67)</f>
        <v>0</v>
      </c>
      <c r="F80" s="163">
        <f t="shared" ref="F80:N80" si="30">SUM(F22:F23,F37:F38,F52:F53,F67)</f>
        <v>0</v>
      </c>
      <c r="G80" s="163">
        <f t="shared" si="30"/>
        <v>0</v>
      </c>
      <c r="H80" s="163">
        <f t="shared" si="30"/>
        <v>0</v>
      </c>
      <c r="I80" s="163">
        <f t="shared" si="30"/>
        <v>0</v>
      </c>
      <c r="J80" s="163">
        <f t="shared" si="30"/>
        <v>0</v>
      </c>
      <c r="K80" s="163">
        <f t="shared" si="30"/>
        <v>0</v>
      </c>
      <c r="L80" s="163">
        <f t="shared" si="30"/>
        <v>0</v>
      </c>
      <c r="M80" s="163">
        <f t="shared" si="30"/>
        <v>0</v>
      </c>
      <c r="N80" s="163">
        <f t="shared" si="30"/>
        <v>0</v>
      </c>
      <c r="O80" s="163">
        <f t="shared" si="29"/>
        <v>0</v>
      </c>
      <c r="P80" s="171">
        <f>O85/$O$84</f>
        <v>0.66609962299489167</v>
      </c>
    </row>
    <row r="81" spans="1:16" x14ac:dyDescent="0.3">
      <c r="A81" s="159" t="str">
        <f>$G$3&amp;$D$77&amp;D86</f>
        <v>EEATotalINTRA EEA</v>
      </c>
      <c r="B81" s="159" t="s">
        <v>76</v>
      </c>
      <c r="D81" s="164" t="s">
        <v>107</v>
      </c>
      <c r="E81" s="163">
        <f t="shared" ref="E81:N82" si="31">E54+E39+E24+E68</f>
        <v>9823231.1696672626</v>
      </c>
      <c r="F81" s="163">
        <f t="shared" si="31"/>
        <v>16204888.862914084</v>
      </c>
      <c r="G81" s="163">
        <f t="shared" si="31"/>
        <v>27247363.130928397</v>
      </c>
      <c r="H81" s="163">
        <f t="shared" si="31"/>
        <v>38484175.686123282</v>
      </c>
      <c r="I81" s="163">
        <f t="shared" si="31"/>
        <v>56619843.478208885</v>
      </c>
      <c r="J81" s="163">
        <f t="shared" si="31"/>
        <v>0</v>
      </c>
      <c r="K81" s="163">
        <f t="shared" si="31"/>
        <v>0</v>
      </c>
      <c r="L81" s="163">
        <f t="shared" si="31"/>
        <v>0</v>
      </c>
      <c r="M81" s="163">
        <f t="shared" si="31"/>
        <v>0</v>
      </c>
      <c r="N81" s="163">
        <f t="shared" si="31"/>
        <v>0</v>
      </c>
      <c r="O81" s="163">
        <f t="shared" si="29"/>
        <v>148379502.32784191</v>
      </c>
      <c r="P81" s="171">
        <f>O86/$O$84</f>
        <v>0</v>
      </c>
    </row>
    <row r="82" spans="1:16" x14ac:dyDescent="0.3">
      <c r="A82" s="159" t="str">
        <f>$G$3&amp;$D$77&amp;D87</f>
        <v>EEATotalINTRA Non-EEA</v>
      </c>
      <c r="B82" s="159" t="s">
        <v>107</v>
      </c>
      <c r="D82" s="164" t="s">
        <v>108</v>
      </c>
      <c r="E82" s="163">
        <f t="shared" si="31"/>
        <v>21537104.520093068</v>
      </c>
      <c r="F82" s="163">
        <f t="shared" si="31"/>
        <v>54839443.120000005</v>
      </c>
      <c r="G82" s="163">
        <f t="shared" si="31"/>
        <v>124004677.71120003</v>
      </c>
      <c r="H82" s="163">
        <f t="shared" si="31"/>
        <v>175144206.79929897</v>
      </c>
      <c r="I82" s="163">
        <f t="shared" si="31"/>
        <v>270895320.11262083</v>
      </c>
      <c r="J82" s="163">
        <f t="shared" si="31"/>
        <v>0</v>
      </c>
      <c r="K82" s="163">
        <f t="shared" si="31"/>
        <v>0</v>
      </c>
      <c r="L82" s="163">
        <f t="shared" si="31"/>
        <v>0</v>
      </c>
      <c r="M82" s="163">
        <f t="shared" si="31"/>
        <v>0</v>
      </c>
      <c r="N82" s="163">
        <f t="shared" si="31"/>
        <v>0</v>
      </c>
      <c r="O82" s="163">
        <f t="shared" si="29"/>
        <v>646420752.26321292</v>
      </c>
      <c r="P82" s="171">
        <f>O87/$O$84</f>
        <v>4.7368269598873421E-2</v>
      </c>
    </row>
    <row r="83" spans="1:16" x14ac:dyDescent="0.3">
      <c r="A83" s="159" t="str">
        <f>$G$3&amp;$D$77&amp;D88</f>
        <v>EEATotalINTER</v>
      </c>
      <c r="B83" s="159" t="s">
        <v>108</v>
      </c>
      <c r="D83" s="160"/>
      <c r="E83" s="198"/>
      <c r="F83" s="198"/>
      <c r="G83" s="198"/>
      <c r="H83" s="198"/>
      <c r="I83" s="198"/>
      <c r="J83" s="198"/>
      <c r="K83" s="198"/>
      <c r="L83" s="198"/>
      <c r="M83" s="198"/>
      <c r="N83" s="198"/>
      <c r="O83" s="198"/>
      <c r="P83" s="171">
        <f>O88/$O$84</f>
        <v>0.28653210740623503</v>
      </c>
    </row>
    <row r="84" spans="1:16" x14ac:dyDescent="0.3">
      <c r="D84" s="162" t="s">
        <v>130</v>
      </c>
      <c r="E84" s="163">
        <f>SUM(E85:E88)</f>
        <v>981500</v>
      </c>
      <c r="F84" s="163">
        <f t="shared" ref="F84:N84" si="32">SUM(F85:F88)</f>
        <v>1621082.7022324209</v>
      </c>
      <c r="G84" s="163">
        <f t="shared" si="32"/>
        <v>2725734.772182228</v>
      </c>
      <c r="H84" s="163">
        <f t="shared" si="32"/>
        <v>3849827.79223018</v>
      </c>
      <c r="I84" s="163">
        <f t="shared" si="32"/>
        <v>5664059.1393186525</v>
      </c>
      <c r="J84" s="163">
        <f t="shared" si="32"/>
        <v>0</v>
      </c>
      <c r="K84" s="163">
        <f t="shared" si="32"/>
        <v>0</v>
      </c>
      <c r="L84" s="163">
        <f t="shared" si="32"/>
        <v>0</v>
      </c>
      <c r="M84" s="163">
        <f t="shared" si="32"/>
        <v>0</v>
      </c>
      <c r="N84" s="163">
        <f t="shared" si="32"/>
        <v>0</v>
      </c>
      <c r="O84" s="163">
        <f>SUM(E84:N84)</f>
        <v>14842204.40596348</v>
      </c>
    </row>
    <row r="85" spans="1:16" x14ac:dyDescent="0.3">
      <c r="D85" s="164" t="s">
        <v>106</v>
      </c>
      <c r="E85" s="163">
        <f t="shared" ref="E85:N85" si="33">E58+E43+E28+E72</f>
        <v>793264.71458582755</v>
      </c>
      <c r="F85" s="163">
        <f t="shared" si="33"/>
        <v>1183515.0740812609</v>
      </c>
      <c r="G85" s="163">
        <f t="shared" si="33"/>
        <v>1780811.3812766345</v>
      </c>
      <c r="H85" s="163">
        <f t="shared" si="33"/>
        <v>2515217.9949151194</v>
      </c>
      <c r="I85" s="163">
        <f t="shared" si="33"/>
        <v>3613577.5943665523</v>
      </c>
      <c r="J85" s="163">
        <f t="shared" si="33"/>
        <v>0</v>
      </c>
      <c r="K85" s="163">
        <f t="shared" si="33"/>
        <v>0</v>
      </c>
      <c r="L85" s="163">
        <f t="shared" si="33"/>
        <v>0</v>
      </c>
      <c r="M85" s="163">
        <f t="shared" si="33"/>
        <v>0</v>
      </c>
      <c r="N85" s="163">
        <f t="shared" si="33"/>
        <v>0</v>
      </c>
      <c r="O85" s="163">
        <f t="shared" ref="O85:O88" si="34">SUM(E85:N85)</f>
        <v>9886386.7592253946</v>
      </c>
    </row>
    <row r="86" spans="1:16" x14ac:dyDescent="0.3">
      <c r="D86" s="164" t="s">
        <v>76</v>
      </c>
      <c r="E86" s="163">
        <f>SUM(E29:E30,E44:E45,E59:E60,E73)</f>
        <v>0</v>
      </c>
      <c r="F86" s="163">
        <f t="shared" ref="F86:N86" si="35">SUM(F29:F30,F44:F45,F59:F60,F73)</f>
        <v>0</v>
      </c>
      <c r="G86" s="163">
        <f t="shared" si="35"/>
        <v>0</v>
      </c>
      <c r="H86" s="163">
        <f t="shared" si="35"/>
        <v>0</v>
      </c>
      <c r="I86" s="163">
        <f t="shared" si="35"/>
        <v>0</v>
      </c>
      <c r="J86" s="163">
        <f t="shared" si="35"/>
        <v>0</v>
      </c>
      <c r="K86" s="163">
        <f t="shared" si="35"/>
        <v>0</v>
      </c>
      <c r="L86" s="163">
        <f t="shared" si="35"/>
        <v>0</v>
      </c>
      <c r="M86" s="163">
        <f t="shared" si="35"/>
        <v>0</v>
      </c>
      <c r="N86" s="163">
        <f t="shared" si="35"/>
        <v>0</v>
      </c>
      <c r="O86" s="163">
        <f t="shared" si="34"/>
        <v>0</v>
      </c>
    </row>
    <row r="87" spans="1:16" x14ac:dyDescent="0.3">
      <c r="D87" s="164" t="s">
        <v>107</v>
      </c>
      <c r="E87" s="163">
        <f t="shared" ref="E87:N88" si="36">E61+E46+E31+E74</f>
        <v>46543.808308297004</v>
      </c>
      <c r="F87" s="163">
        <f t="shared" si="36"/>
        <v>76781.818151159983</v>
      </c>
      <c r="G87" s="163">
        <f t="shared" si="36"/>
        <v>129103.14280559329</v>
      </c>
      <c r="H87" s="163">
        <f t="shared" si="36"/>
        <v>182345.27889862002</v>
      </c>
      <c r="I87" s="163">
        <f t="shared" si="36"/>
        <v>268275.49157959473</v>
      </c>
      <c r="J87" s="163">
        <f t="shared" si="36"/>
        <v>0</v>
      </c>
      <c r="K87" s="163">
        <f t="shared" si="36"/>
        <v>0</v>
      </c>
      <c r="L87" s="163">
        <f t="shared" si="36"/>
        <v>0</v>
      </c>
      <c r="M87" s="163">
        <f t="shared" si="36"/>
        <v>0</v>
      </c>
      <c r="N87" s="163">
        <f t="shared" si="36"/>
        <v>0</v>
      </c>
      <c r="O87" s="163">
        <f t="shared" si="34"/>
        <v>703049.53974326502</v>
      </c>
    </row>
    <row r="88" spans="1:16" x14ac:dyDescent="0.3">
      <c r="D88" s="164" t="s">
        <v>108</v>
      </c>
      <c r="E88" s="163">
        <f t="shared" si="36"/>
        <v>141691.47710587544</v>
      </c>
      <c r="F88" s="163">
        <f t="shared" si="36"/>
        <v>360785.81000000006</v>
      </c>
      <c r="G88" s="163">
        <f t="shared" si="36"/>
        <v>815820.2481000002</v>
      </c>
      <c r="H88" s="163">
        <f t="shared" si="36"/>
        <v>1152264.5184164406</v>
      </c>
      <c r="I88" s="163">
        <f t="shared" si="36"/>
        <v>1782206.0533725056</v>
      </c>
      <c r="J88" s="163">
        <f t="shared" si="36"/>
        <v>0</v>
      </c>
      <c r="K88" s="163">
        <f t="shared" si="36"/>
        <v>0</v>
      </c>
      <c r="L88" s="163">
        <f t="shared" si="36"/>
        <v>0</v>
      </c>
      <c r="M88" s="163">
        <f t="shared" si="36"/>
        <v>0</v>
      </c>
      <c r="N88" s="163">
        <f t="shared" si="36"/>
        <v>0</v>
      </c>
      <c r="O88" s="163">
        <f t="shared" si="34"/>
        <v>4252768.1069948226</v>
      </c>
    </row>
    <row r="90" spans="1:16" x14ac:dyDescent="0.3">
      <c r="E90" s="140"/>
      <c r="F90" s="140"/>
      <c r="G90" s="140"/>
    </row>
    <row r="91" spans="1:16" x14ac:dyDescent="0.3">
      <c r="E91" s="45">
        <f>E84*0.1</f>
        <v>98150</v>
      </c>
      <c r="F91" s="45">
        <f>F84*0.35</f>
        <v>567378.94578134723</v>
      </c>
    </row>
    <row r="92" spans="1:16" x14ac:dyDescent="0.3">
      <c r="E92" s="199">
        <f>E91*AVERAGE([1]Calcs!J7:J81)</f>
        <v>29518.472449776342</v>
      </c>
    </row>
    <row r="96" spans="1:16" outlineLevel="1" x14ac:dyDescent="0.3">
      <c r="E96" s="200" t="s">
        <v>131</v>
      </c>
      <c r="F96" s="200" t="s">
        <v>132</v>
      </c>
      <c r="G96" s="1" t="s">
        <v>92</v>
      </c>
      <c r="H96" s="1" t="s">
        <v>92</v>
      </c>
    </row>
    <row r="97" spans="5:8" outlineLevel="1" x14ac:dyDescent="0.3">
      <c r="E97" s="201">
        <v>44562</v>
      </c>
      <c r="F97" s="201">
        <v>44926</v>
      </c>
      <c r="G97" s="1" t="s">
        <v>133</v>
      </c>
      <c r="H97" s="1" t="s">
        <v>134</v>
      </c>
    </row>
    <row r="98" spans="5:8" outlineLevel="1" x14ac:dyDescent="0.3">
      <c r="E98" s="201">
        <v>44652</v>
      </c>
      <c r="F98" s="201">
        <v>45016</v>
      </c>
      <c r="G98" s="1" t="s">
        <v>135</v>
      </c>
      <c r="H98" s="1" t="s">
        <v>136</v>
      </c>
    </row>
    <row r="99" spans="5:8" outlineLevel="1" x14ac:dyDescent="0.3">
      <c r="E99" s="201">
        <v>44743</v>
      </c>
      <c r="F99" s="201">
        <v>45107</v>
      </c>
    </row>
    <row r="100" spans="5:8" outlineLevel="1" x14ac:dyDescent="0.3">
      <c r="E100" s="201">
        <v>44835</v>
      </c>
      <c r="F100" s="201">
        <v>45199</v>
      </c>
      <c r="G100" s="1" t="s">
        <v>92</v>
      </c>
      <c r="H100" s="1" t="s">
        <v>92</v>
      </c>
    </row>
    <row r="101" spans="5:8" outlineLevel="1" x14ac:dyDescent="0.3">
      <c r="E101" s="201">
        <v>44927</v>
      </c>
      <c r="F101" s="201">
        <v>45291</v>
      </c>
      <c r="G101" s="1" t="s">
        <v>137</v>
      </c>
      <c r="H101" s="1" t="s">
        <v>138</v>
      </c>
    </row>
    <row r="102" spans="5:8" outlineLevel="1" x14ac:dyDescent="0.3">
      <c r="E102" s="201">
        <v>45017</v>
      </c>
      <c r="F102" s="201">
        <v>45382</v>
      </c>
    </row>
    <row r="103" spans="5:8" outlineLevel="1" x14ac:dyDescent="0.3">
      <c r="E103" s="201">
        <v>45108</v>
      </c>
      <c r="F103" s="201">
        <v>45473</v>
      </c>
    </row>
    <row r="104" spans="5:8" outlineLevel="1" x14ac:dyDescent="0.3">
      <c r="E104" s="201">
        <v>45200</v>
      </c>
      <c r="F104" s="201">
        <v>45565</v>
      </c>
    </row>
    <row r="105" spans="5:8" outlineLevel="1" x14ac:dyDescent="0.3">
      <c r="E105" s="201">
        <v>45292</v>
      </c>
      <c r="F105" s="201">
        <v>45657</v>
      </c>
    </row>
    <row r="106" spans="5:8" outlineLevel="1" x14ac:dyDescent="0.3">
      <c r="E106" s="201">
        <v>45383</v>
      </c>
      <c r="F106" s="201">
        <v>45747</v>
      </c>
    </row>
    <row r="107" spans="5:8" outlineLevel="1" x14ac:dyDescent="0.3">
      <c r="E107" s="201">
        <v>45474</v>
      </c>
      <c r="F107" s="201">
        <v>45838</v>
      </c>
    </row>
    <row r="108" spans="5:8" outlineLevel="1" x14ac:dyDescent="0.3">
      <c r="E108" s="201">
        <v>45566</v>
      </c>
      <c r="F108" s="201">
        <v>45930</v>
      </c>
    </row>
    <row r="109" spans="5:8" outlineLevel="1" x14ac:dyDescent="0.3">
      <c r="E109" s="201">
        <v>45658</v>
      </c>
      <c r="F109" s="201">
        <v>46022</v>
      </c>
    </row>
    <row r="110" spans="5:8" outlineLevel="1" x14ac:dyDescent="0.3">
      <c r="E110" s="201">
        <v>45748</v>
      </c>
      <c r="F110" s="201">
        <v>46112</v>
      </c>
    </row>
    <row r="111" spans="5:8" outlineLevel="1" x14ac:dyDescent="0.3">
      <c r="E111" s="201">
        <v>45839</v>
      </c>
      <c r="F111" s="201">
        <v>46203</v>
      </c>
    </row>
    <row r="112" spans="5:8" outlineLevel="1" x14ac:dyDescent="0.3">
      <c r="E112" s="201">
        <v>45931</v>
      </c>
      <c r="F112" s="201">
        <v>46295</v>
      </c>
    </row>
    <row r="113" spans="5:6" outlineLevel="1" x14ac:dyDescent="0.3">
      <c r="E113" s="201">
        <v>46023</v>
      </c>
      <c r="F113" s="201">
        <v>46387</v>
      </c>
    </row>
    <row r="114" spans="5:6" outlineLevel="1" x14ac:dyDescent="0.3">
      <c r="E114" s="201">
        <v>46113</v>
      </c>
      <c r="F114" s="201">
        <v>46477</v>
      </c>
    </row>
    <row r="115" spans="5:6" outlineLevel="1" x14ac:dyDescent="0.3">
      <c r="E115" s="201">
        <v>46204</v>
      </c>
      <c r="F115" s="201">
        <v>46568</v>
      </c>
    </row>
    <row r="116" spans="5:6" outlineLevel="1" x14ac:dyDescent="0.3">
      <c r="E116" s="201">
        <v>46296</v>
      </c>
      <c r="F116" s="201">
        <v>46660</v>
      </c>
    </row>
    <row r="117" spans="5:6" outlineLevel="1" x14ac:dyDescent="0.3">
      <c r="E117" s="201">
        <v>46388</v>
      </c>
      <c r="F117" s="201">
        <v>46752</v>
      </c>
    </row>
    <row r="118" spans="5:6" outlineLevel="1" x14ac:dyDescent="0.3">
      <c r="E118" s="201">
        <v>46478</v>
      </c>
      <c r="F118" s="201">
        <v>46843</v>
      </c>
    </row>
    <row r="119" spans="5:6" outlineLevel="1" x14ac:dyDescent="0.3">
      <c r="E119" s="201">
        <v>46569</v>
      </c>
      <c r="F119" s="201">
        <v>46934</v>
      </c>
    </row>
    <row r="120" spans="5:6" outlineLevel="1" x14ac:dyDescent="0.3">
      <c r="E120" s="201">
        <v>46661</v>
      </c>
      <c r="F120" s="201">
        <v>47026</v>
      </c>
    </row>
    <row r="121" spans="5:6" outlineLevel="1" x14ac:dyDescent="0.3">
      <c r="E121" s="201">
        <v>46753</v>
      </c>
      <c r="F121" s="201">
        <v>47118</v>
      </c>
    </row>
    <row r="122" spans="5:6" outlineLevel="1" x14ac:dyDescent="0.3">
      <c r="E122" s="201">
        <v>46844</v>
      </c>
      <c r="F122" s="201">
        <v>47208</v>
      </c>
    </row>
    <row r="123" spans="5:6" outlineLevel="1" x14ac:dyDescent="0.3">
      <c r="E123" s="201">
        <v>46935</v>
      </c>
      <c r="F123" s="201">
        <v>47299</v>
      </c>
    </row>
    <row r="124" spans="5:6" outlineLevel="1" x14ac:dyDescent="0.3">
      <c r="E124" s="201">
        <v>47027</v>
      </c>
      <c r="F124" s="201">
        <v>47391</v>
      </c>
    </row>
    <row r="125" spans="5:6" outlineLevel="1" x14ac:dyDescent="0.3">
      <c r="E125" s="201">
        <v>47119</v>
      </c>
      <c r="F125" s="201">
        <v>47483</v>
      </c>
    </row>
    <row r="126" spans="5:6" outlineLevel="1" x14ac:dyDescent="0.3">
      <c r="E126" s="201">
        <v>47209</v>
      </c>
      <c r="F126" s="201">
        <v>47573</v>
      </c>
    </row>
    <row r="127" spans="5:6" outlineLevel="1" x14ac:dyDescent="0.3">
      <c r="E127" s="201">
        <v>47300</v>
      </c>
      <c r="F127" s="201">
        <v>47664</v>
      </c>
    </row>
    <row r="128" spans="5:6" outlineLevel="1" x14ac:dyDescent="0.3">
      <c r="E128" s="201">
        <v>47392</v>
      </c>
      <c r="F128" s="201">
        <v>47756</v>
      </c>
    </row>
    <row r="129" spans="5:6" outlineLevel="1" x14ac:dyDescent="0.3">
      <c r="E129" s="201">
        <v>47484</v>
      </c>
      <c r="F129" s="201">
        <v>47848</v>
      </c>
    </row>
    <row r="130" spans="5:6" outlineLevel="1" x14ac:dyDescent="0.3">
      <c r="E130" s="201">
        <v>47574</v>
      </c>
      <c r="F130" s="201">
        <v>47938</v>
      </c>
    </row>
    <row r="131" spans="5:6" outlineLevel="1" x14ac:dyDescent="0.3">
      <c r="E131" s="201">
        <v>47665</v>
      </c>
      <c r="F131" s="201">
        <v>48029</v>
      </c>
    </row>
    <row r="132" spans="5:6" outlineLevel="1" x14ac:dyDescent="0.3">
      <c r="E132" s="201">
        <v>47757</v>
      </c>
      <c r="F132" s="201">
        <v>48121</v>
      </c>
    </row>
    <row r="133" spans="5:6" outlineLevel="1" x14ac:dyDescent="0.3">
      <c r="E133" s="201">
        <v>47849</v>
      </c>
      <c r="F133" s="201">
        <v>48213</v>
      </c>
    </row>
    <row r="134" spans="5:6" outlineLevel="1" x14ac:dyDescent="0.3">
      <c r="E134" s="201">
        <v>47939</v>
      </c>
      <c r="F134" s="201">
        <v>48304</v>
      </c>
    </row>
    <row r="135" spans="5:6" outlineLevel="1" x14ac:dyDescent="0.3">
      <c r="E135" s="201">
        <v>48030</v>
      </c>
      <c r="F135" s="201">
        <v>48395</v>
      </c>
    </row>
    <row r="136" spans="5:6" outlineLevel="1" x14ac:dyDescent="0.3">
      <c r="E136" s="201">
        <v>48122</v>
      </c>
      <c r="F136" s="201">
        <v>48487</v>
      </c>
    </row>
    <row r="137" spans="5:6" outlineLevel="1" x14ac:dyDescent="0.3">
      <c r="E137" s="201">
        <v>48214</v>
      </c>
      <c r="F137" s="201">
        <v>48579</v>
      </c>
    </row>
    <row r="138" spans="5:6" outlineLevel="1" x14ac:dyDescent="0.3">
      <c r="E138" s="201">
        <v>48305</v>
      </c>
      <c r="F138" s="201">
        <v>48669</v>
      </c>
    </row>
    <row r="139" spans="5:6" outlineLevel="1" x14ac:dyDescent="0.3">
      <c r="E139" s="201">
        <v>48396</v>
      </c>
      <c r="F139" s="201">
        <v>48760</v>
      </c>
    </row>
    <row r="140" spans="5:6" outlineLevel="1" x14ac:dyDescent="0.3">
      <c r="E140" s="201">
        <v>48488</v>
      </c>
      <c r="F140" s="201">
        <v>48852</v>
      </c>
    </row>
    <row r="141" spans="5:6" outlineLevel="1" x14ac:dyDescent="0.3">
      <c r="E141" s="25"/>
      <c r="F141" s="201">
        <v>48944</v>
      </c>
    </row>
    <row r="142" spans="5:6" outlineLevel="1" x14ac:dyDescent="0.3">
      <c r="E142" s="25"/>
      <c r="F142" s="201">
        <v>49034</v>
      </c>
    </row>
    <row r="143" spans="5:6" outlineLevel="1" x14ac:dyDescent="0.3">
      <c r="E143" s="25"/>
      <c r="F143" s="201">
        <v>49125</v>
      </c>
    </row>
    <row r="144" spans="5:6" outlineLevel="1" x14ac:dyDescent="0.3">
      <c r="E144" s="25"/>
      <c r="F144" s="201">
        <v>49217</v>
      </c>
    </row>
    <row r="145" spans="5:6" outlineLevel="1" x14ac:dyDescent="0.3">
      <c r="E145" s="202"/>
      <c r="F145" s="201">
        <v>49309</v>
      </c>
    </row>
    <row r="146" spans="5:6" outlineLevel="1" x14ac:dyDescent="0.3">
      <c r="E146" s="202"/>
      <c r="F146" s="201">
        <v>49399</v>
      </c>
    </row>
    <row r="147" spans="5:6" outlineLevel="1" x14ac:dyDescent="0.3">
      <c r="E147" s="202"/>
      <c r="F147" s="201">
        <v>49490</v>
      </c>
    </row>
    <row r="148" spans="5:6" outlineLevel="1" x14ac:dyDescent="0.3">
      <c r="E148" s="202"/>
      <c r="F148" s="201">
        <v>49582</v>
      </c>
    </row>
    <row r="149" spans="5:6" outlineLevel="1" x14ac:dyDescent="0.3">
      <c r="E149" s="202"/>
      <c r="F149" s="201">
        <v>49674</v>
      </c>
    </row>
    <row r="150" spans="5:6" outlineLevel="1" x14ac:dyDescent="0.3">
      <c r="E150" s="202"/>
      <c r="F150" s="201">
        <v>49765</v>
      </c>
    </row>
    <row r="151" spans="5:6" outlineLevel="1" x14ac:dyDescent="0.3">
      <c r="E151" s="202"/>
      <c r="F151" s="201">
        <v>49856</v>
      </c>
    </row>
    <row r="152" spans="5:6" outlineLevel="1" x14ac:dyDescent="0.3">
      <c r="E152" s="202"/>
      <c r="F152" s="201">
        <v>49948</v>
      </c>
    </row>
    <row r="153" spans="5:6" outlineLevel="1" x14ac:dyDescent="0.3">
      <c r="E153" s="202"/>
      <c r="F153" s="201">
        <v>50040</v>
      </c>
    </row>
    <row r="154" spans="5:6" outlineLevel="1" x14ac:dyDescent="0.3">
      <c r="E154" s="202"/>
      <c r="F154" s="201">
        <v>50130</v>
      </c>
    </row>
    <row r="155" spans="5:6" outlineLevel="1" x14ac:dyDescent="0.3">
      <c r="E155" s="202"/>
      <c r="F155" s="201">
        <v>50221</v>
      </c>
    </row>
    <row r="156" spans="5:6" outlineLevel="1" x14ac:dyDescent="0.3">
      <c r="E156" s="202"/>
      <c r="F156" s="201">
        <v>50313</v>
      </c>
    </row>
    <row r="157" spans="5:6" outlineLevel="1" x14ac:dyDescent="0.3">
      <c r="E157" s="25"/>
      <c r="F157" s="201">
        <v>50405</v>
      </c>
    </row>
    <row r="158" spans="5:6" outlineLevel="1" x14ac:dyDescent="0.3">
      <c r="E158" s="25"/>
      <c r="F158" s="201">
        <v>50495</v>
      </c>
    </row>
    <row r="159" spans="5:6" outlineLevel="1" x14ac:dyDescent="0.3">
      <c r="E159" s="25"/>
      <c r="F159" s="201">
        <v>50586</v>
      </c>
    </row>
    <row r="160" spans="5:6" outlineLevel="1" x14ac:dyDescent="0.3">
      <c r="E160" s="25"/>
      <c r="F160" s="201">
        <v>50678</v>
      </c>
    </row>
    <row r="161" spans="5:6" outlineLevel="1" x14ac:dyDescent="0.3">
      <c r="E161" s="25"/>
      <c r="F161" s="201">
        <v>50770</v>
      </c>
    </row>
  </sheetData>
  <mergeCells count="23">
    <mergeCell ref="R70:S71"/>
    <mergeCell ref="T70:T71"/>
    <mergeCell ref="U70:U71"/>
    <mergeCell ref="R41:S42"/>
    <mergeCell ref="T41:T42"/>
    <mergeCell ref="U41:U42"/>
    <mergeCell ref="R56:S57"/>
    <mergeCell ref="T56:T57"/>
    <mergeCell ref="U56:U57"/>
    <mergeCell ref="A17:B18"/>
    <mergeCell ref="D17:O17"/>
    <mergeCell ref="Q17:S17"/>
    <mergeCell ref="R26:S27"/>
    <mergeCell ref="T26:T27"/>
    <mergeCell ref="U26:U27"/>
    <mergeCell ref="D1:E5"/>
    <mergeCell ref="F1:I2"/>
    <mergeCell ref="J1:M2"/>
    <mergeCell ref="N1:N2"/>
    <mergeCell ref="O1:O2"/>
    <mergeCell ref="R1:S13"/>
    <mergeCell ref="D7:D8"/>
    <mergeCell ref="E7:H7"/>
  </mergeCells>
  <conditionalFormatting sqref="E43:N47">
    <cfRule type="expression" dxfId="21" priority="9">
      <formula>E$18=1</formula>
    </cfRule>
  </conditionalFormatting>
  <conditionalFormatting sqref="E58:N62">
    <cfRule type="expression" dxfId="20" priority="7">
      <formula>E$18=1</formula>
    </cfRule>
  </conditionalFormatting>
  <conditionalFormatting sqref="E28:O32">
    <cfRule type="expression" dxfId="19" priority="12">
      <formula>E$18=0</formula>
    </cfRule>
    <cfRule type="expression" dxfId="18" priority="13">
      <formula>E$18=1</formula>
    </cfRule>
  </conditionalFormatting>
  <conditionalFormatting sqref="E43:O47">
    <cfRule type="expression" dxfId="17" priority="8">
      <formula>E$18=0</formula>
    </cfRule>
  </conditionalFormatting>
  <conditionalFormatting sqref="E58:O62">
    <cfRule type="expression" dxfId="16" priority="6">
      <formula>E$18=0</formula>
    </cfRule>
  </conditionalFormatting>
  <conditionalFormatting sqref="O43:O47">
    <cfRule type="expression" dxfId="15" priority="11">
      <formula>O$18=1</formula>
    </cfRule>
  </conditionalFormatting>
  <conditionalFormatting sqref="O58:O62">
    <cfRule type="expression" dxfId="14" priority="10">
      <formula>O$18=1</formula>
    </cfRule>
  </conditionalFormatting>
  <conditionalFormatting sqref="P80:P83">
    <cfRule type="expression" dxfId="13" priority="14">
      <formula>P$18=0</formula>
    </cfRule>
    <cfRule type="expression" dxfId="12" priority="15">
      <formula>P$18=1</formula>
    </cfRule>
  </conditionalFormatting>
  <conditionalFormatting sqref="I4">
    <cfRule type="expression" dxfId="11" priority="5">
      <formula>$I$4=""</formula>
    </cfRule>
  </conditionalFormatting>
  <conditionalFormatting sqref="I5">
    <cfRule type="expression" dxfId="10" priority="4">
      <formula>$I$5=""</formula>
    </cfRule>
  </conditionalFormatting>
  <conditionalFormatting sqref="E72:N75">
    <cfRule type="expression" dxfId="9" priority="2">
      <formula>E$18=1</formula>
    </cfRule>
  </conditionalFormatting>
  <conditionalFormatting sqref="E72:O75">
    <cfRule type="expression" dxfId="8" priority="1">
      <formula>E$18=0</formula>
    </cfRule>
  </conditionalFormatting>
  <conditionalFormatting sqref="O72:O75">
    <cfRule type="expression" dxfId="7" priority="3">
      <formula>O$18=1</formula>
    </cfRule>
  </conditionalFormatting>
  <dataValidations count="5">
    <dataValidation type="list" allowBlank="1" showInputMessage="1" showErrorMessage="1" sqref="T72:U75 T58:U62" xr:uid="{6C2D998E-A44E-443D-B3A9-FEDDC0567458}">
      <formula1>AFT</formula1>
    </dataValidation>
    <dataValidation type="list" allowBlank="1" showInputMessage="1" showErrorMessage="1" sqref="T43:U47 T28:U32" xr:uid="{AE618A49-A7DC-47BB-8BAA-4DE6D6D6DA25}">
      <formula1>OCT</formula1>
    </dataValidation>
    <dataValidation type="list" allowBlank="1" showInputMessage="1" showErrorMessage="1" sqref="I5" xr:uid="{0E52B0E0-D040-481C-8E8B-489661C72155}">
      <formula1>"Rack,SAFP"</formula1>
    </dataValidation>
    <dataValidation type="list" allowBlank="1" showInputMessage="1" showErrorMessage="1" sqref="I4" xr:uid="{5950E284-69C7-457C-8E42-9970035C5D29}">
      <formula1>"Rack,MLP T1,MLP T2,CFAP"</formula1>
    </dataValidation>
    <dataValidation type="list" allowBlank="1" showInputMessage="1" showErrorMessage="1" sqref="D6" xr:uid="{E3EDB07B-6013-400F-9115-B61438B2BA65}">
      <formula1>"EEA, NonEEA"</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50F3-2EF2-4664-8352-BF1DF2A7710A}">
  <sheetPr codeName="Sheet7">
    <pageSetUpPr fitToPage="1"/>
  </sheetPr>
  <dimension ref="B1:U132"/>
  <sheetViews>
    <sheetView showGridLines="0" zoomScale="80" zoomScaleNormal="80" zoomScaleSheetLayoutView="55" workbookViewId="0">
      <selection activeCell="P6" sqref="P6"/>
    </sheetView>
  </sheetViews>
  <sheetFormatPr defaultColWidth="8.77734375" defaultRowHeight="14.4" outlineLevelRow="1" outlineLevelCol="1" x14ac:dyDescent="0.3"/>
  <cols>
    <col min="1" max="1" width="4.21875" style="1" customWidth="1"/>
    <col min="2" max="2" width="38.77734375" style="1" hidden="1" customWidth="1" outlineLevel="1"/>
    <col min="3" max="3" width="29" style="203" hidden="1" customWidth="1" outlineLevel="1"/>
    <col min="4" max="4" width="4" style="1" hidden="1" customWidth="1" outlineLevel="1"/>
    <col min="5" max="5" width="14.5546875" style="1" customWidth="1" collapsed="1"/>
    <col min="6" max="6" width="39.5546875" style="1" customWidth="1"/>
    <col min="7" max="16" width="16.5546875" style="1" customWidth="1"/>
    <col min="17" max="17" width="17.5546875" style="1" customWidth="1"/>
    <col min="18" max="18" width="15.77734375" style="1" customWidth="1"/>
    <col min="19" max="20" width="15.5546875" style="1" customWidth="1"/>
    <col min="21" max="21" width="28.21875" style="1" customWidth="1"/>
    <col min="22" max="22" width="1.5546875" style="1" customWidth="1"/>
    <col min="23" max="16384" width="8.77734375" style="1"/>
  </cols>
  <sheetData>
    <row r="1" spans="2:21" ht="9" customHeight="1" thickBot="1" x14ac:dyDescent="0.35"/>
    <row r="2" spans="2:21" ht="49.95" customHeight="1" thickBot="1" x14ac:dyDescent="0.35">
      <c r="F2" s="204" t="s">
        <v>139</v>
      </c>
      <c r="G2" s="205">
        <v>0.03</v>
      </c>
      <c r="H2" s="206" t="s">
        <v>140</v>
      </c>
      <c r="I2" s="207"/>
      <c r="J2" s="207" t="s">
        <v>141</v>
      </c>
      <c r="K2" s="207"/>
      <c r="L2" s="207" t="s">
        <v>142</v>
      </c>
      <c r="M2" s="207"/>
      <c r="N2" s="208" t="s">
        <v>143</v>
      </c>
      <c r="O2" s="209">
        <f>(Q41+Q47)/Intro!D18</f>
        <v>1224739.0183393774</v>
      </c>
      <c r="P2" s="210">
        <f>O2*Inputs!O1</f>
        <v>1437108.7641194253</v>
      </c>
      <c r="Q2" s="211" t="s">
        <v>144</v>
      </c>
      <c r="R2" s="212">
        <f>SUM(Q19:Q25,Q31,Q33,Q47)/Intro!D18</f>
        <v>704788.49476629205</v>
      </c>
      <c r="S2" s="213">
        <f>R2*Inputs!O1</f>
        <v>826998.81975876703</v>
      </c>
    </row>
    <row r="3" spans="2:21" ht="19.95" customHeight="1" x14ac:dyDescent="0.3">
      <c r="E3" s="134"/>
      <c r="F3" s="214" t="s">
        <v>145</v>
      </c>
      <c r="G3" s="215">
        <f>IFERROR(1-G4,"")</f>
        <v>0.76923076923076916</v>
      </c>
      <c r="H3" s="215">
        <f t="shared" ref="H3:P3" si="0">IFERROR(1-H4,"")</f>
        <v>0.76923076923076916</v>
      </c>
      <c r="I3" s="215">
        <f t="shared" si="0"/>
        <v>0.76923076923076927</v>
      </c>
      <c r="J3" s="215">
        <f t="shared" si="0"/>
        <v>0.76923076923076927</v>
      </c>
      <c r="K3" s="215">
        <f t="shared" si="0"/>
        <v>0.76923076923076916</v>
      </c>
      <c r="L3" s="215" t="str">
        <f t="shared" si="0"/>
        <v/>
      </c>
      <c r="M3" s="215" t="str">
        <f t="shared" si="0"/>
        <v/>
      </c>
      <c r="N3" s="215" t="str">
        <f t="shared" si="0"/>
        <v/>
      </c>
      <c r="O3" s="215"/>
      <c r="P3" s="215" t="str">
        <f t="shared" si="0"/>
        <v/>
      </c>
      <c r="Q3" s="215"/>
    </row>
    <row r="4" spans="2:21" ht="19.95" customHeight="1" x14ac:dyDescent="0.3">
      <c r="C4" s="216" t="str">
        <f>IFERROR(IF(AND(Intro!D22&lt;&gt;"", Intro!D21&lt;&gt;"", C15&lt;&gt;""), IF(ABS(DATEDIF(Intro!D21,Intro!D22,"D") - C15*365.25) &gt; 5, "DATE ERROR",""),""),"Check Start/End Qtr")</f>
        <v/>
      </c>
      <c r="E4" s="134"/>
      <c r="F4" s="214" t="s">
        <v>146</v>
      </c>
      <c r="G4" s="215">
        <f>IFERROR(Inputs!E57/Inputs!E84,"")</f>
        <v>0.23076923076923078</v>
      </c>
      <c r="H4" s="215">
        <f>IFERROR(Inputs!F57/Inputs!F84,"")</f>
        <v>0.23076923076923078</v>
      </c>
      <c r="I4" s="215">
        <f>IFERROR(Inputs!G57/Inputs!G84,"")</f>
        <v>0.23076923076923073</v>
      </c>
      <c r="J4" s="215">
        <f>IFERROR(Inputs!H57/Inputs!H84,"")</f>
        <v>0.23076923076923075</v>
      </c>
      <c r="K4" s="215">
        <f>IFERROR(Inputs!I57/Inputs!I84,"")</f>
        <v>0.23076923076923084</v>
      </c>
      <c r="L4" s="215" t="str">
        <f>IFERROR(Inputs!J57/Inputs!J84,"")</f>
        <v/>
      </c>
      <c r="M4" s="215" t="str">
        <f>IFERROR(Inputs!K57/Inputs!K84,"")</f>
        <v/>
      </c>
      <c r="N4" s="215" t="str">
        <f>IFERROR(Inputs!L57/Inputs!L84,"")</f>
        <v/>
      </c>
      <c r="O4" s="215" t="str">
        <f>IFERROR(Inputs!M57/Inputs!M84,"")</f>
        <v/>
      </c>
      <c r="P4" s="215" t="str">
        <f>IFERROR(Inputs!N57/Inputs!N84,"")</f>
        <v/>
      </c>
      <c r="Q4" s="215">
        <f>IFERROR(Inputs!O57/Inputs!O84,"")</f>
        <v>0.23076923076923078</v>
      </c>
    </row>
    <row r="5" spans="2:21" s="83" customFormat="1" ht="25.95" customHeight="1" x14ac:dyDescent="0.3">
      <c r="C5" s="217"/>
      <c r="E5" s="218"/>
      <c r="F5" s="219" t="s">
        <v>147</v>
      </c>
      <c r="G5" s="220">
        <v>1</v>
      </c>
      <c r="H5" s="220">
        <v>2</v>
      </c>
      <c r="I5" s="220">
        <v>3</v>
      </c>
      <c r="J5" s="220">
        <v>4</v>
      </c>
      <c r="K5" s="220">
        <v>5</v>
      </c>
      <c r="L5" s="220">
        <v>6</v>
      </c>
      <c r="M5" s="220">
        <v>7</v>
      </c>
      <c r="N5" s="220">
        <v>8</v>
      </c>
      <c r="O5" s="220">
        <v>9</v>
      </c>
      <c r="P5" s="220">
        <v>10</v>
      </c>
      <c r="Q5" s="221" t="s">
        <v>147</v>
      </c>
      <c r="R5" s="222"/>
    </row>
    <row r="6" spans="2:21" x14ac:dyDescent="0.3">
      <c r="E6" s="218"/>
      <c r="F6" s="223" t="s">
        <v>148</v>
      </c>
      <c r="G6" s="224">
        <f>Inputs!E78</f>
        <v>195747846.32361245</v>
      </c>
      <c r="H6" s="224">
        <f>Inputs!F78</f>
        <v>316205408.16965616</v>
      </c>
      <c r="I6" s="224">
        <f>Inputs!G78</f>
        <v>519962465.71269333</v>
      </c>
      <c r="J6" s="224">
        <f>Inputs!H78</f>
        <v>734394986.57260823</v>
      </c>
      <c r="K6" s="224">
        <f>Inputs!I78</f>
        <v>1075610158.6784201</v>
      </c>
      <c r="L6" s="224">
        <f>Inputs!J78</f>
        <v>0</v>
      </c>
      <c r="M6" s="224">
        <f>Inputs!K78</f>
        <v>0</v>
      </c>
      <c r="N6" s="224">
        <f>Inputs!L78</f>
        <v>0</v>
      </c>
      <c r="O6" s="224">
        <f>Inputs!M78</f>
        <v>0</v>
      </c>
      <c r="P6" s="224">
        <f>Inputs!N78</f>
        <v>0</v>
      </c>
      <c r="Q6" s="224">
        <f>SUM(G6:P6)</f>
        <v>2841920865.4569902</v>
      </c>
      <c r="S6" s="1" t="b">
        <f>Q6=Q9+Q12+Q15</f>
        <v>1</v>
      </c>
    </row>
    <row r="7" spans="2:21" x14ac:dyDescent="0.3">
      <c r="E7" s="225"/>
      <c r="F7" s="226" t="s">
        <v>149</v>
      </c>
      <c r="G7" s="227">
        <f>Inputs!E84</f>
        <v>981500</v>
      </c>
      <c r="H7" s="227">
        <f>Inputs!F84</f>
        <v>1621082.7022324209</v>
      </c>
      <c r="I7" s="227">
        <f>Inputs!G84</f>
        <v>2725734.772182228</v>
      </c>
      <c r="J7" s="227">
        <f>Inputs!H84</f>
        <v>3849827.79223018</v>
      </c>
      <c r="K7" s="227">
        <f>Inputs!I84</f>
        <v>5664059.1393186525</v>
      </c>
      <c r="L7" s="227">
        <f>Inputs!J84</f>
        <v>0</v>
      </c>
      <c r="M7" s="227">
        <f>Inputs!K84</f>
        <v>0</v>
      </c>
      <c r="N7" s="227">
        <f>Inputs!L84</f>
        <v>0</v>
      </c>
      <c r="O7" s="227">
        <f>Inputs!M84</f>
        <v>0</v>
      </c>
      <c r="P7" s="227">
        <f>Inputs!N84</f>
        <v>0</v>
      </c>
      <c r="Q7" s="227">
        <f>SUM(G7:P7)</f>
        <v>14842204.40596348</v>
      </c>
      <c r="S7" s="1" t="b">
        <f>Q7=Q10+Q13+Q16</f>
        <v>1</v>
      </c>
    </row>
    <row r="8" spans="2:21" ht="15" thickBot="1" x14ac:dyDescent="0.35">
      <c r="E8" s="228"/>
      <c r="F8" s="229"/>
      <c r="G8" s="230"/>
      <c r="H8" s="230"/>
      <c r="I8" s="230"/>
      <c r="J8" s="230"/>
      <c r="K8" s="230"/>
      <c r="L8" s="230"/>
      <c r="M8" s="230"/>
      <c r="N8" s="230"/>
      <c r="O8" s="230"/>
      <c r="P8" s="230"/>
      <c r="Q8" s="230"/>
    </row>
    <row r="9" spans="2:21" x14ac:dyDescent="0.3">
      <c r="E9" s="231" t="s">
        <v>150</v>
      </c>
      <c r="F9" s="232" t="s">
        <v>151</v>
      </c>
      <c r="G9" s="233">
        <f>Inputs!E79</f>
        <v>164387510.63385212</v>
      </c>
      <c r="H9" s="233">
        <f>Inputs!F79</f>
        <v>245161076.18674207</v>
      </c>
      <c r="I9" s="233">
        <f>Inputs!G79</f>
        <v>368710424.87056488</v>
      </c>
      <c r="J9" s="233">
        <f>Inputs!H79</f>
        <v>520766604.08718598</v>
      </c>
      <c r="K9" s="233">
        <f>Inputs!I79</f>
        <v>748094995.08759046</v>
      </c>
      <c r="L9" s="233">
        <f>Inputs!J79</f>
        <v>0</v>
      </c>
      <c r="M9" s="233">
        <f>Inputs!K79</f>
        <v>0</v>
      </c>
      <c r="N9" s="233">
        <f>Inputs!L79</f>
        <v>0</v>
      </c>
      <c r="O9" s="233">
        <f>Inputs!M79</f>
        <v>0</v>
      </c>
      <c r="P9" s="233">
        <f>Inputs!N79</f>
        <v>0</v>
      </c>
      <c r="Q9" s="234">
        <f>SUM(G9:P9)</f>
        <v>2047120610.8659356</v>
      </c>
      <c r="S9" s="1" t="b">
        <f>Q9=Inputs!O79</f>
        <v>1</v>
      </c>
    </row>
    <row r="10" spans="2:21" x14ac:dyDescent="0.3">
      <c r="E10" s="235"/>
      <c r="F10" s="236" t="s">
        <v>152</v>
      </c>
      <c r="G10" s="237">
        <f>Inputs!E85</f>
        <v>793264.71458582755</v>
      </c>
      <c r="H10" s="237">
        <f>Inputs!F85</f>
        <v>1183515.0740812609</v>
      </c>
      <c r="I10" s="237">
        <f>Inputs!G85</f>
        <v>1780811.3812766345</v>
      </c>
      <c r="J10" s="237">
        <f>Inputs!H85</f>
        <v>2515217.9949151194</v>
      </c>
      <c r="K10" s="237">
        <f>Inputs!I85</f>
        <v>3613577.5943665523</v>
      </c>
      <c r="L10" s="237">
        <f>Inputs!J85</f>
        <v>0</v>
      </c>
      <c r="M10" s="237">
        <f>Inputs!K85</f>
        <v>0</v>
      </c>
      <c r="N10" s="237">
        <f>Inputs!L85</f>
        <v>0</v>
      </c>
      <c r="O10" s="237">
        <f>Inputs!M85</f>
        <v>0</v>
      </c>
      <c r="P10" s="237">
        <f>Inputs!N85</f>
        <v>0</v>
      </c>
      <c r="Q10" s="238">
        <f>SUM(G10:P10)</f>
        <v>9886386.7592253946</v>
      </c>
      <c r="S10" s="1" t="b">
        <f>Q10=Inputs!O85</f>
        <v>1</v>
      </c>
    </row>
    <row r="11" spans="2:21" x14ac:dyDescent="0.3">
      <c r="E11" s="235"/>
      <c r="F11" s="236"/>
      <c r="G11" s="237"/>
      <c r="H11" s="237"/>
      <c r="I11" s="237"/>
      <c r="J11" s="237"/>
      <c r="K11" s="237"/>
      <c r="L11" s="237"/>
      <c r="M11" s="237"/>
      <c r="N11" s="237"/>
      <c r="O11" s="237"/>
      <c r="P11" s="237"/>
      <c r="Q11" s="238"/>
    </row>
    <row r="12" spans="2:21" x14ac:dyDescent="0.3">
      <c r="E12" s="235"/>
      <c r="F12" s="236" t="s">
        <v>153</v>
      </c>
      <c r="G12" s="237">
        <f>SUM(Inputs!E80:E81)</f>
        <v>9823231.1696672626</v>
      </c>
      <c r="H12" s="237">
        <f>SUM(Inputs!F80:F81)</f>
        <v>16204888.862914084</v>
      </c>
      <c r="I12" s="237">
        <f>SUM(Inputs!G80:G81)</f>
        <v>27247363.130928397</v>
      </c>
      <c r="J12" s="237">
        <f>SUM(Inputs!H80:H81)</f>
        <v>38484175.686123282</v>
      </c>
      <c r="K12" s="237">
        <f>SUM(Inputs!I80:I81)</f>
        <v>56619843.478208885</v>
      </c>
      <c r="L12" s="237">
        <f>SUM(Inputs!J80:J81)</f>
        <v>0</v>
      </c>
      <c r="M12" s="237">
        <f>SUM(Inputs!K80:K81)</f>
        <v>0</v>
      </c>
      <c r="N12" s="237">
        <f>SUM(Inputs!L80:L81)</f>
        <v>0</v>
      </c>
      <c r="O12" s="237">
        <f>SUM(Inputs!M80:M81)</f>
        <v>0</v>
      </c>
      <c r="P12" s="237">
        <f>SUM(Inputs!N80:N81)</f>
        <v>0</v>
      </c>
      <c r="Q12" s="238">
        <f>SUM(G12:P12)</f>
        <v>148379502.32784191</v>
      </c>
      <c r="S12" s="1" t="b">
        <f>Q12=Inputs!O80+Inputs!O81</f>
        <v>1</v>
      </c>
      <c r="U12" s="45"/>
    </row>
    <row r="13" spans="2:21" x14ac:dyDescent="0.3">
      <c r="E13" s="235"/>
      <c r="F13" s="236" t="s">
        <v>154</v>
      </c>
      <c r="G13" s="237">
        <f>SUM(Inputs!E86:E87)</f>
        <v>46543.808308297004</v>
      </c>
      <c r="H13" s="237">
        <f>SUM(Inputs!F86:F87)</f>
        <v>76781.818151159983</v>
      </c>
      <c r="I13" s="237">
        <f>SUM(Inputs!G86:G87)</f>
        <v>129103.14280559329</v>
      </c>
      <c r="J13" s="237">
        <f>SUM(Inputs!H86:H87)</f>
        <v>182345.27889862002</v>
      </c>
      <c r="K13" s="237">
        <f>SUM(Inputs!I86:I87)</f>
        <v>268275.49157959473</v>
      </c>
      <c r="L13" s="237">
        <f>SUM(Inputs!J86:J87)</f>
        <v>0</v>
      </c>
      <c r="M13" s="237">
        <f>SUM(Inputs!K86:K87)</f>
        <v>0</v>
      </c>
      <c r="N13" s="237">
        <f>SUM(Inputs!L86:L87)</f>
        <v>0</v>
      </c>
      <c r="O13" s="237">
        <f>SUM(Inputs!M86:M87)</f>
        <v>0</v>
      </c>
      <c r="P13" s="237">
        <f>SUM(Inputs!N86:N87)</f>
        <v>0</v>
      </c>
      <c r="Q13" s="238">
        <f>SUM(G13:P13)</f>
        <v>703049.53974326502</v>
      </c>
      <c r="S13" s="1" t="b">
        <f>Q13=Inputs!O86+Inputs!O87</f>
        <v>1</v>
      </c>
    </row>
    <row r="14" spans="2:21" ht="15" thickBot="1" x14ac:dyDescent="0.35">
      <c r="B14" s="239" t="s">
        <v>155</v>
      </c>
      <c r="C14" s="239"/>
      <c r="E14" s="235"/>
      <c r="F14" s="236"/>
      <c r="G14" s="237"/>
      <c r="H14" s="237"/>
      <c r="I14" s="237"/>
      <c r="J14" s="237"/>
      <c r="K14" s="237"/>
      <c r="L14" s="237"/>
      <c r="M14" s="237"/>
      <c r="N14" s="237"/>
      <c r="O14" s="237"/>
      <c r="P14" s="237"/>
      <c r="Q14" s="238"/>
    </row>
    <row r="15" spans="2:21" x14ac:dyDescent="0.3">
      <c r="B15" s="240" t="s">
        <v>156</v>
      </c>
      <c r="C15" s="241">
        <f>Inputs!I3</f>
        <v>5</v>
      </c>
      <c r="E15" s="235"/>
      <c r="F15" s="236" t="s">
        <v>157</v>
      </c>
      <c r="G15" s="237">
        <f>Inputs!E82</f>
        <v>21537104.520093068</v>
      </c>
      <c r="H15" s="237">
        <f>Inputs!F82</f>
        <v>54839443.120000005</v>
      </c>
      <c r="I15" s="237">
        <f>Inputs!G82</f>
        <v>124004677.71120003</v>
      </c>
      <c r="J15" s="237">
        <f>Inputs!H82</f>
        <v>175144206.79929897</v>
      </c>
      <c r="K15" s="237">
        <f>Inputs!I82</f>
        <v>270895320.11262083</v>
      </c>
      <c r="L15" s="237">
        <f>Inputs!J82</f>
        <v>0</v>
      </c>
      <c r="M15" s="237">
        <f>Inputs!K82</f>
        <v>0</v>
      </c>
      <c r="N15" s="237">
        <f>Inputs!L82</f>
        <v>0</v>
      </c>
      <c r="O15" s="237">
        <f>Inputs!M82</f>
        <v>0</v>
      </c>
      <c r="P15" s="237">
        <f>Inputs!N82</f>
        <v>0</v>
      </c>
      <c r="Q15" s="238">
        <f>SUM(G15:P15)</f>
        <v>646420752.26321292</v>
      </c>
      <c r="S15" s="1" t="b">
        <f>Q15=Inputs!O82</f>
        <v>1</v>
      </c>
      <c r="U15" s="184"/>
    </row>
    <row r="16" spans="2:21" ht="15" thickBot="1" x14ac:dyDescent="0.35">
      <c r="B16" s="242" t="s">
        <v>118</v>
      </c>
      <c r="C16" s="243">
        <f>Inputs!O84</f>
        <v>14842204.40596348</v>
      </c>
      <c r="E16" s="244"/>
      <c r="F16" s="245" t="s">
        <v>158</v>
      </c>
      <c r="G16" s="246">
        <f>Inputs!E88</f>
        <v>141691.47710587544</v>
      </c>
      <c r="H16" s="246">
        <f>Inputs!F88</f>
        <v>360785.81000000006</v>
      </c>
      <c r="I16" s="246">
        <f>Inputs!G88</f>
        <v>815820.2481000002</v>
      </c>
      <c r="J16" s="246">
        <f>Inputs!H88</f>
        <v>1152264.5184164406</v>
      </c>
      <c r="K16" s="246">
        <f>Inputs!I88</f>
        <v>1782206.0533725056</v>
      </c>
      <c r="L16" s="246">
        <f>Inputs!J88</f>
        <v>0</v>
      </c>
      <c r="M16" s="246">
        <f>Inputs!K88</f>
        <v>0</v>
      </c>
      <c r="N16" s="246">
        <f>Inputs!L88</f>
        <v>0</v>
      </c>
      <c r="O16" s="246">
        <f>Inputs!M88</f>
        <v>0</v>
      </c>
      <c r="P16" s="246">
        <f>Inputs!N88</f>
        <v>0</v>
      </c>
      <c r="Q16" s="247">
        <f>SUM(G16:P16)</f>
        <v>4252768.1069948226</v>
      </c>
      <c r="S16" s="1" t="b">
        <f>Q16=Inputs!O88</f>
        <v>1</v>
      </c>
    </row>
    <row r="17" spans="2:19" ht="15" thickBot="1" x14ac:dyDescent="0.35">
      <c r="B17" s="248" t="s">
        <v>159</v>
      </c>
      <c r="C17" s="249">
        <f>IFERROR(C16/C15,0)</f>
        <v>2968440.8811926963</v>
      </c>
      <c r="E17" s="228"/>
      <c r="F17" s="250"/>
      <c r="G17" s="230"/>
      <c r="H17" s="230"/>
      <c r="I17" s="230"/>
      <c r="J17" s="230"/>
      <c r="K17" s="230"/>
      <c r="L17" s="230"/>
      <c r="M17" s="230"/>
      <c r="N17" s="230"/>
      <c r="O17" s="230"/>
      <c r="P17" s="230"/>
      <c r="Q17" s="230"/>
    </row>
    <row r="18" spans="2:19" x14ac:dyDescent="0.3">
      <c r="B18" s="1" t="s">
        <v>160</v>
      </c>
      <c r="C18" s="251">
        <f>IFERROR(Inputs!P80,"check")</f>
        <v>0.66609962299489167</v>
      </c>
      <c r="E18" s="252" t="s">
        <v>161</v>
      </c>
      <c r="F18" s="253" t="s">
        <v>162</v>
      </c>
      <c r="G18" s="254">
        <f t="shared" ref="G18:P18" si="1">SUM(G19:G32)</f>
        <v>280593.61096534418</v>
      </c>
      <c r="H18" s="254">
        <f t="shared" si="1"/>
        <v>703491.33814131771</v>
      </c>
      <c r="I18" s="254">
        <f t="shared" si="1"/>
        <v>1394696.8351200284</v>
      </c>
      <c r="J18" s="254">
        <f t="shared" si="1"/>
        <v>1861674.8442654463</v>
      </c>
      <c r="K18" s="254">
        <f t="shared" si="1"/>
        <v>2846225.8938816888</v>
      </c>
      <c r="L18" s="254">
        <f t="shared" si="1"/>
        <v>0</v>
      </c>
      <c r="M18" s="254">
        <f t="shared" si="1"/>
        <v>0</v>
      </c>
      <c r="N18" s="254">
        <f t="shared" si="1"/>
        <v>0</v>
      </c>
      <c r="O18" s="254">
        <f t="shared" si="1"/>
        <v>0</v>
      </c>
      <c r="P18" s="254">
        <f t="shared" si="1"/>
        <v>0</v>
      </c>
      <c r="Q18" s="255">
        <f>SUM(G18:P18)</f>
        <v>7086682.5223738253</v>
      </c>
      <c r="R18" s="256"/>
    </row>
    <row r="19" spans="2:19" x14ac:dyDescent="0.3">
      <c r="B19" s="1" t="s">
        <v>163</v>
      </c>
      <c r="C19" s="251">
        <f>IFERROR(Inputs!P81,"check")</f>
        <v>0</v>
      </c>
      <c r="E19" s="257"/>
      <c r="F19" s="258" t="s">
        <v>164</v>
      </c>
      <c r="G19" s="259">
        <f>[1]Calcs!AY103</f>
        <v>835.78500000000008</v>
      </c>
      <c r="H19" s="259">
        <f>[1]Calcs!AZ103</f>
        <v>1380.4142702856077</v>
      </c>
      <c r="I19" s="259">
        <f>[1]Calcs!BA103</f>
        <v>2321.0679944659432</v>
      </c>
      <c r="J19" s="259">
        <f>[1]Calcs!BB103</f>
        <v>3278.2764353836992</v>
      </c>
      <c r="K19" s="259">
        <f>[1]Calcs!BC103</f>
        <v>4823.1642055582688</v>
      </c>
      <c r="L19" s="259">
        <f>[1]Calcs!BD103</f>
        <v>0</v>
      </c>
      <c r="M19" s="259">
        <f>[1]Calcs!BE103</f>
        <v>0</v>
      </c>
      <c r="N19" s="259">
        <f>[1]Calcs!BF103</f>
        <v>0</v>
      </c>
      <c r="O19" s="259">
        <f>[1]Calcs!BG103</f>
        <v>0</v>
      </c>
      <c r="P19" s="259">
        <f>[1]Calcs!BH103</f>
        <v>0</v>
      </c>
      <c r="Q19" s="260">
        <f>SUM(G19:P19)</f>
        <v>12638.707905693518</v>
      </c>
      <c r="R19" s="256"/>
    </row>
    <row r="20" spans="2:19" x14ac:dyDescent="0.3">
      <c r="B20" s="1" t="s">
        <v>165</v>
      </c>
      <c r="C20" s="251">
        <f>IFERROR(Inputs!P82,"check")</f>
        <v>4.7368269598873421E-2</v>
      </c>
      <c r="E20" s="257"/>
      <c r="F20" s="258" t="s">
        <v>166</v>
      </c>
      <c r="G20" s="259">
        <f>[1]Calcs!AN103</f>
        <v>19813.446968787415</v>
      </c>
      <c r="H20" s="259">
        <f>[1]Calcs!AO103</f>
        <v>30824.575878008844</v>
      </c>
      <c r="I20" s="259">
        <f>[1]Calcs!AP103</f>
        <v>48691.552398452011</v>
      </c>
      <c r="J20" s="259">
        <f>[1]Calcs!AQ103</f>
        <v>68771.948607573635</v>
      </c>
      <c r="K20" s="259">
        <f>[1]Calcs!AR103</f>
        <v>99876.676179107977</v>
      </c>
      <c r="L20" s="259">
        <f>[1]Calcs!AS103</f>
        <v>0</v>
      </c>
      <c r="M20" s="259">
        <f>[1]Calcs!AT103</f>
        <v>0</v>
      </c>
      <c r="N20" s="259">
        <f>[1]Calcs!AU103</f>
        <v>0</v>
      </c>
      <c r="O20" s="259">
        <f>[1]Calcs!AV103</f>
        <v>0</v>
      </c>
      <c r="P20" s="259">
        <f>[1]Calcs!AW103</f>
        <v>0</v>
      </c>
      <c r="Q20" s="260">
        <f>SUM(G20:P20)</f>
        <v>267978.20003192988</v>
      </c>
      <c r="R20" s="256"/>
    </row>
    <row r="21" spans="2:19" x14ac:dyDescent="0.3">
      <c r="B21" s="1" t="s">
        <v>167</v>
      </c>
      <c r="C21" s="251">
        <f>IFERROR(Inputs!P83,"check")</f>
        <v>0.28653210740623503</v>
      </c>
      <c r="E21" s="257"/>
      <c r="F21" s="258"/>
      <c r="G21" s="259"/>
      <c r="H21" s="259"/>
      <c r="I21" s="259"/>
      <c r="J21" s="259"/>
      <c r="K21" s="259"/>
      <c r="L21" s="259"/>
      <c r="M21" s="259"/>
      <c r="N21" s="259"/>
      <c r="O21" s="259"/>
      <c r="P21" s="259"/>
      <c r="Q21" s="260"/>
      <c r="R21" s="256"/>
    </row>
    <row r="22" spans="2:19" x14ac:dyDescent="0.3">
      <c r="B22" s="1" t="s">
        <v>168</v>
      </c>
      <c r="C22" s="261">
        <f>SUM(G19:P25)</f>
        <v>4433619.5029470008</v>
      </c>
      <c r="E22" s="257"/>
      <c r="F22" s="258" t="s">
        <v>169</v>
      </c>
      <c r="G22" s="259">
        <f>[1]Calcs!AY104</f>
        <v>0</v>
      </c>
      <c r="H22" s="259">
        <f>[1]Calcs!AZ104</f>
        <v>0</v>
      </c>
      <c r="I22" s="259">
        <f>[1]Calcs!BA104</f>
        <v>0</v>
      </c>
      <c r="J22" s="259">
        <f>[1]Calcs!BB104</f>
        <v>0</v>
      </c>
      <c r="K22" s="259">
        <f>[1]Calcs!BC104</f>
        <v>0</v>
      </c>
      <c r="L22" s="259">
        <f>[1]Calcs!BD104</f>
        <v>0</v>
      </c>
      <c r="M22" s="259">
        <f>[1]Calcs!BE104</f>
        <v>0</v>
      </c>
      <c r="N22" s="259">
        <f>[1]Calcs!BF104</f>
        <v>0</v>
      </c>
      <c r="O22" s="259">
        <f>[1]Calcs!BG104</f>
        <v>0</v>
      </c>
      <c r="P22" s="259">
        <f>[1]Calcs!BH104</f>
        <v>0</v>
      </c>
      <c r="Q22" s="260">
        <f>SUM(G22:P22)</f>
        <v>0</v>
      </c>
      <c r="R22" s="256"/>
    </row>
    <row r="23" spans="2:19" ht="14.7" customHeight="1" x14ac:dyDescent="0.3">
      <c r="B23" s="1" t="s">
        <v>170</v>
      </c>
      <c r="C23" s="261">
        <f>Q18</f>
        <v>7086682.5223738253</v>
      </c>
      <c r="E23" s="257"/>
      <c r="F23" s="258" t="s">
        <v>171</v>
      </c>
      <c r="G23" s="259">
        <f>[1]Calcs!AN104</f>
        <v>0</v>
      </c>
      <c r="H23" s="259">
        <f>[1]Calcs!AO104</f>
        <v>0</v>
      </c>
      <c r="I23" s="259">
        <f>[1]Calcs!AP104</f>
        <v>0</v>
      </c>
      <c r="J23" s="259">
        <f>[1]Calcs!AQ104</f>
        <v>0</v>
      </c>
      <c r="K23" s="259">
        <f>[1]Calcs!AR104</f>
        <v>0</v>
      </c>
      <c r="L23" s="259">
        <f>[1]Calcs!AS104</f>
        <v>0</v>
      </c>
      <c r="M23" s="259">
        <f>[1]Calcs!AT104</f>
        <v>0</v>
      </c>
      <c r="N23" s="259">
        <f>[1]Calcs!AU104</f>
        <v>0</v>
      </c>
      <c r="O23" s="259">
        <f>[1]Calcs!AV104</f>
        <v>0</v>
      </c>
      <c r="P23" s="259">
        <f>[1]Calcs!AW104</f>
        <v>0</v>
      </c>
      <c r="Q23" s="260">
        <f>SUM(G23:P23)</f>
        <v>0</v>
      </c>
      <c r="R23" s="256"/>
    </row>
    <row r="24" spans="2:19" ht="14.7" customHeight="1" x14ac:dyDescent="0.3">
      <c r="B24" s="1" t="s">
        <v>172</v>
      </c>
      <c r="C24" s="261">
        <f>Q33</f>
        <v>-850487.43067693862</v>
      </c>
      <c r="E24" s="257"/>
      <c r="F24" s="258"/>
      <c r="G24" s="259"/>
      <c r="H24" s="259"/>
      <c r="I24" s="259"/>
      <c r="J24" s="259"/>
      <c r="K24" s="259"/>
      <c r="L24" s="259"/>
      <c r="M24" s="259"/>
      <c r="N24" s="259"/>
      <c r="O24" s="259"/>
      <c r="P24" s="259"/>
      <c r="Q24" s="260"/>
      <c r="R24" s="256"/>
    </row>
    <row r="25" spans="2:19" ht="14.7" customHeight="1" x14ac:dyDescent="0.3">
      <c r="B25" s="1" t="s">
        <v>173</v>
      </c>
      <c r="C25" s="261">
        <f>IFERROR(Q41,0)</f>
        <v>6236195.0916968863</v>
      </c>
      <c r="E25" s="257"/>
      <c r="F25" s="258" t="s">
        <v>174</v>
      </c>
      <c r="G25" s="259">
        <f>SUM([1]Calcs!AN105:AN106,[1]Calcs!AY105:AY106)</f>
        <v>156748.69845534849</v>
      </c>
      <c r="H25" s="259">
        <f>SUM([1]Calcs!AO105:AO106,[1]Calcs!AZ105:AZ106)</f>
        <v>365934.07052041974</v>
      </c>
      <c r="I25" s="259">
        <f>SUM([1]Calcs!AP105:AP106,[1]Calcs!BA105:BA106)</f>
        <v>792099.58424907934</v>
      </c>
      <c r="J25" s="259">
        <f>SUM([1]Calcs!AQ105:AQ106,[1]Calcs!BB105:BB106)</f>
        <v>1118761.4527934</v>
      </c>
      <c r="K25" s="259">
        <f>SUM([1]Calcs!AR105:AR106,[1]Calcs!BC105:BC106)</f>
        <v>1719458.7889911304</v>
      </c>
      <c r="L25" s="259">
        <f>SUM([1]Calcs!AS105:AS106,[1]Calcs!BD105:BD106)</f>
        <v>0</v>
      </c>
      <c r="M25" s="259">
        <f>SUM([1]Calcs!AT105:AT106,[1]Calcs!BE105:BE106)</f>
        <v>0</v>
      </c>
      <c r="N25" s="259">
        <f>SUM([1]Calcs!AU105:AU106,[1]Calcs!BF105:BF106)</f>
        <v>0</v>
      </c>
      <c r="O25" s="259">
        <f>SUM([1]Calcs!AV105:AV106,[1]Calcs!BG105:BG106)</f>
        <v>0</v>
      </c>
      <c r="P25" s="259">
        <f>SUM([1]Calcs!AW105:AW106,[1]Calcs!BH105:BH106)</f>
        <v>0</v>
      </c>
      <c r="Q25" s="260">
        <f>SUM(G25:P25)</f>
        <v>4153002.5950093777</v>
      </c>
      <c r="R25" s="256"/>
      <c r="S25" s="184">
        <f>SUM(Q20:Q25)</f>
        <v>4420980.7950413078</v>
      </c>
    </row>
    <row r="26" spans="2:19" ht="14.7" customHeight="1" x14ac:dyDescent="0.3">
      <c r="B26" s="1" t="s">
        <v>175</v>
      </c>
      <c r="C26" s="261">
        <f>IFERROR(C25/C15,0)</f>
        <v>1247239.0183393774</v>
      </c>
      <c r="E26" s="257"/>
      <c r="F26" s="258" t="s">
        <v>176</v>
      </c>
      <c r="G26" s="259">
        <f>G73</f>
        <v>8710.5370901759688</v>
      </c>
      <c r="H26" s="259">
        <f t="shared" ref="H26:P26" si="2">H73</f>
        <v>11761.468427234528</v>
      </c>
      <c r="I26" s="259">
        <f t="shared" si="2"/>
        <v>16036.290414060479</v>
      </c>
      <c r="J26" s="259">
        <f t="shared" si="2"/>
        <v>20384.690922737125</v>
      </c>
      <c r="K26" s="259">
        <f t="shared" si="2"/>
        <v>26398.670279151054</v>
      </c>
      <c r="L26" s="259">
        <f t="shared" si="2"/>
        <v>0</v>
      </c>
      <c r="M26" s="259">
        <f t="shared" si="2"/>
        <v>0</v>
      </c>
      <c r="N26" s="259">
        <f t="shared" si="2"/>
        <v>0</v>
      </c>
      <c r="O26" s="259">
        <f t="shared" si="2"/>
        <v>0</v>
      </c>
      <c r="P26" s="259">
        <f t="shared" si="2"/>
        <v>0</v>
      </c>
      <c r="Q26" s="260">
        <f>SUM(G26:P26)</f>
        <v>83291.657133359142</v>
      </c>
      <c r="R26" s="256"/>
    </row>
    <row r="27" spans="2:19" ht="14.7" customHeight="1" x14ac:dyDescent="0.3">
      <c r="B27" s="1" t="s">
        <v>177</v>
      </c>
      <c r="C27" s="261">
        <f>(Q41-Q32)/C15</f>
        <v>1240388.7701520096</v>
      </c>
      <c r="E27" s="257"/>
      <c r="F27" s="262" t="s">
        <v>178</v>
      </c>
      <c r="G27" s="263"/>
      <c r="H27" s="263"/>
      <c r="I27" s="263"/>
      <c r="J27" s="263"/>
      <c r="K27" s="263"/>
      <c r="L27" s="263"/>
      <c r="M27" s="263"/>
      <c r="N27" s="263"/>
      <c r="O27" s="263"/>
      <c r="P27" s="263"/>
      <c r="Q27" s="264">
        <f>SUM(G27:P27)</f>
        <v>0</v>
      </c>
      <c r="R27" s="256"/>
    </row>
    <row r="28" spans="2:19" x14ac:dyDescent="0.3">
      <c r="B28" s="1" t="s">
        <v>179</v>
      </c>
      <c r="C28" s="265">
        <f>IFERROR(C24/C23,0)</f>
        <v>-0.12001206883359168</v>
      </c>
      <c r="E28" s="257"/>
      <c r="F28" s="262" t="s">
        <v>180</v>
      </c>
      <c r="G28" s="263">
        <f>-SUM(G35,G37)</f>
        <v>0</v>
      </c>
      <c r="H28" s="263">
        <f t="shared" ref="H28:P28" si="3">-SUM(H35,H37)</f>
        <v>75000</v>
      </c>
      <c r="I28" s="263">
        <f t="shared" si="3"/>
        <v>75000</v>
      </c>
      <c r="J28" s="263">
        <f t="shared" si="3"/>
        <v>0</v>
      </c>
      <c r="K28" s="263">
        <f t="shared" si="3"/>
        <v>0</v>
      </c>
      <c r="L28" s="263">
        <f t="shared" si="3"/>
        <v>0</v>
      </c>
      <c r="M28" s="263">
        <f t="shared" si="3"/>
        <v>0</v>
      </c>
      <c r="N28" s="263">
        <f t="shared" si="3"/>
        <v>0</v>
      </c>
      <c r="O28" s="263">
        <f t="shared" si="3"/>
        <v>0</v>
      </c>
      <c r="P28" s="263">
        <f t="shared" si="3"/>
        <v>0</v>
      </c>
      <c r="Q28" s="264">
        <f>SUM(G28:P28)</f>
        <v>150000</v>
      </c>
      <c r="R28" s="256"/>
    </row>
    <row r="29" spans="2:19" x14ac:dyDescent="0.3">
      <c r="B29" s="1" t="s">
        <v>181</v>
      </c>
      <c r="C29" s="265">
        <f>IFERROR((C24-Q39)/C22,0)</f>
        <v>-0.1875684005962438</v>
      </c>
      <c r="E29" s="257"/>
      <c r="F29" s="262" t="s">
        <v>182</v>
      </c>
      <c r="G29" s="263">
        <f>[1]Calcs!BJ106</f>
        <v>62996.030721272218</v>
      </c>
      <c r="H29" s="263">
        <f>[1]Calcs!BK106</f>
        <v>160405.37112600001</v>
      </c>
      <c r="I29" s="263">
        <f>[1]Calcs!BL106</f>
        <v>362713.68230526004</v>
      </c>
      <c r="J29" s="263">
        <f>[1]Calcs!BM106</f>
        <v>512296.80488794949</v>
      </c>
      <c r="K29" s="263">
        <f>[1]Calcs!BN106</f>
        <v>792368.81132941588</v>
      </c>
      <c r="L29" s="263">
        <f>[1]Calcs!BO106</f>
        <v>0</v>
      </c>
      <c r="M29" s="263">
        <f>[1]Calcs!BP106</f>
        <v>0</v>
      </c>
      <c r="N29" s="263">
        <f>[1]Calcs!BQ106</f>
        <v>0</v>
      </c>
      <c r="O29" s="263">
        <f>[1]Calcs!BR106</f>
        <v>0</v>
      </c>
      <c r="P29" s="263">
        <f>[1]Calcs!BS106</f>
        <v>0</v>
      </c>
      <c r="Q29" s="264">
        <f t="shared" ref="Q29:Q32" si="4">SUM(G29:P29)</f>
        <v>1890780.7003698978</v>
      </c>
      <c r="R29" s="256"/>
    </row>
    <row r="30" spans="2:19" ht="15.6" customHeight="1" x14ac:dyDescent="0.3">
      <c r="B30" s="1" t="s">
        <v>183</v>
      </c>
      <c r="C30" s="266">
        <v>2.7699999999999999E-2</v>
      </c>
      <c r="E30" s="257"/>
      <c r="F30" s="262" t="s">
        <v>184</v>
      </c>
      <c r="G30" s="263">
        <f>[1]Calcs!BJ104+[1]Calcs!BJ105</f>
        <v>29224.112729760105</v>
      </c>
      <c r="H30" s="263">
        <f>[1]Calcs!BK104+[1]Calcs!BK105</f>
        <v>48209.544367169401</v>
      </c>
      <c r="I30" s="263">
        <f>[1]Calcs!BL104+[1]Calcs!BL105</f>
        <v>81060.905314511983</v>
      </c>
      <c r="J30" s="263">
        <f>[1]Calcs!BM104+[1]Calcs!BM105</f>
        <v>114490.42266621676</v>
      </c>
      <c r="K30" s="263">
        <f>[1]Calcs!BN104+[1]Calcs!BN105</f>
        <v>168444.0343476714</v>
      </c>
      <c r="L30" s="263">
        <f>[1]Calcs!BO104+[1]Calcs!BO105</f>
        <v>0</v>
      </c>
      <c r="M30" s="263">
        <f>[1]Calcs!BP104+[1]Calcs!BP105</f>
        <v>0</v>
      </c>
      <c r="N30" s="263">
        <f>[1]Calcs!BQ104+[1]Calcs!BQ105</f>
        <v>0</v>
      </c>
      <c r="O30" s="263">
        <f>[1]Calcs!BR104+[1]Calcs!BR105</f>
        <v>0</v>
      </c>
      <c r="P30" s="263">
        <f>[1]Calcs!BS104+[1]Calcs!BS105</f>
        <v>0</v>
      </c>
      <c r="Q30" s="264">
        <f t="shared" si="4"/>
        <v>441429.01942532964</v>
      </c>
      <c r="R30" s="256"/>
    </row>
    <row r="31" spans="2:19" ht="15.6" customHeight="1" x14ac:dyDescent="0.3">
      <c r="B31" s="1" t="s">
        <v>183</v>
      </c>
      <c r="C31" s="266">
        <v>2.7699999999999999E-2</v>
      </c>
      <c r="E31" s="257"/>
      <c r="F31" s="262" t="s">
        <v>185</v>
      </c>
      <c r="G31" s="263"/>
      <c r="H31" s="263">
        <f>SUM(Inputs!F27,Inputs!F42)*[1]Calcs!$B$4*0.5</f>
        <v>6234.9334701246953</v>
      </c>
      <c r="I31" s="263">
        <f>SUM(Inputs!G27,Inputs!G42)*[1]Calcs!$B$4*0.5</f>
        <v>10483.595277623954</v>
      </c>
      <c r="J31" s="263">
        <f>SUM(Inputs!H27,Inputs!H42)*[1]Calcs!$B$4*0.5</f>
        <v>14807.029970116075</v>
      </c>
      <c r="K31" s="263">
        <f>SUM(Inputs!I27,Inputs!I42)*[1]Calcs!$B$4*0.5</f>
        <v>21784.842843533279</v>
      </c>
      <c r="L31" s="263">
        <f>SUM(Inputs!J27,Inputs!J42)*[1]Calcs!$B$4*0.5</f>
        <v>0</v>
      </c>
      <c r="M31" s="263">
        <f>SUM(Inputs!K27,Inputs!K42)*[1]Calcs!$B$4*0.5</f>
        <v>0</v>
      </c>
      <c r="N31" s="263">
        <f>SUM(Inputs!L27,Inputs!L42)*[1]Calcs!$B$4*0.5</f>
        <v>0</v>
      </c>
      <c r="O31" s="263">
        <f>SUM(Inputs!M27,Inputs!M42)*[1]Calcs!$B$4*0.5</f>
        <v>0</v>
      </c>
      <c r="P31" s="263">
        <f>SUM(Inputs!N27,Inputs!N42)*[1]Calcs!$B$4*0.5</f>
        <v>0</v>
      </c>
      <c r="Q31" s="264">
        <f t="shared" ref="Q31" si="5">SUM(G31:P31)</f>
        <v>53310.401561398001</v>
      </c>
      <c r="R31" s="256" t="s">
        <v>186</v>
      </c>
    </row>
    <row r="32" spans="2:19" ht="16.350000000000001" customHeight="1" thickBot="1" x14ac:dyDescent="0.35">
      <c r="B32" s="1" t="s">
        <v>187</v>
      </c>
      <c r="C32" s="267">
        <f>Q75</f>
        <v>1</v>
      </c>
      <c r="E32" s="268"/>
      <c r="F32" s="269" t="s">
        <v>188</v>
      </c>
      <c r="G32" s="270">
        <f>SUM(Inputs!E57,Inputs!E71)*[1]Calcs!$B$3</f>
        <v>2265</v>
      </c>
      <c r="H32" s="270">
        <f>SUM(Inputs!F57,Inputs!F71)*[1]Calcs!$B$3</f>
        <v>3740.9600820748178</v>
      </c>
      <c r="I32" s="270">
        <f>SUM(Inputs!G57,Inputs!G71)*[1]Calcs!$B$3</f>
        <v>6290.1571665743713</v>
      </c>
      <c r="J32" s="270">
        <f>SUM(Inputs!H57,Inputs!H71)*[1]Calcs!$B$3</f>
        <v>8884.2179820696456</v>
      </c>
      <c r="K32" s="270">
        <f>SUM(Inputs!I57,Inputs!I71)*[1]Calcs!$B$3</f>
        <v>13070.905706119971</v>
      </c>
      <c r="L32" s="270">
        <f>SUM(Inputs!J57,Inputs!J71)*[1]Calcs!$B$3</f>
        <v>0</v>
      </c>
      <c r="M32" s="270">
        <f>SUM(Inputs!K57,Inputs!K71)*[1]Calcs!$B$3</f>
        <v>0</v>
      </c>
      <c r="N32" s="270">
        <f>SUM(Inputs!L57,Inputs!L71)*[1]Calcs!$B$3</f>
        <v>0</v>
      </c>
      <c r="O32" s="270">
        <f>SUM(Inputs!M57,Inputs!M71)*[1]Calcs!$B$3</f>
        <v>0</v>
      </c>
      <c r="P32" s="270">
        <f>SUM(Inputs!N57,Inputs!N71)*[1]Calcs!$B$3</f>
        <v>0</v>
      </c>
      <c r="Q32" s="271">
        <f t="shared" si="4"/>
        <v>34251.240936838803</v>
      </c>
      <c r="R32" s="256"/>
    </row>
    <row r="33" spans="2:19" ht="15.45" customHeight="1" x14ac:dyDescent="0.3">
      <c r="B33" s="272" t="s">
        <v>189</v>
      </c>
      <c r="C33" s="273">
        <f>Q34+Q35</f>
        <v>-45000</v>
      </c>
      <c r="E33" s="274" t="s">
        <v>190</v>
      </c>
      <c r="F33" s="275" t="s">
        <v>191</v>
      </c>
      <c r="G33" s="276">
        <f>SUM(G34:G39)</f>
        <v>-46246.5</v>
      </c>
      <c r="H33" s="276">
        <f t="shared" ref="H33:P33" si="6">SUM(H34:H39)</f>
        <v>-75000</v>
      </c>
      <c r="I33" s="276">
        <f t="shared" si="6"/>
        <v>-82075.163181568394</v>
      </c>
      <c r="J33" s="276">
        <f t="shared" si="6"/>
        <v>-221300.75021853016</v>
      </c>
      <c r="K33" s="276">
        <f t="shared" si="6"/>
        <v>-425865.01727684005</v>
      </c>
      <c r="L33" s="276">
        <f t="shared" si="6"/>
        <v>0</v>
      </c>
      <c r="M33" s="276">
        <f t="shared" si="6"/>
        <v>0</v>
      </c>
      <c r="N33" s="276">
        <f t="shared" si="6"/>
        <v>0</v>
      </c>
      <c r="O33" s="276">
        <f t="shared" si="6"/>
        <v>0</v>
      </c>
      <c r="P33" s="276">
        <f t="shared" si="6"/>
        <v>0</v>
      </c>
      <c r="Q33" s="277">
        <f>SUM(Q34:Q39)</f>
        <v>-850487.43067693862</v>
      </c>
      <c r="R33" s="278">
        <f>Q33/Q18</f>
        <v>-0.12001206883359168</v>
      </c>
      <c r="S33" s="279">
        <f>Q33/SUM(Q19:Q25)</f>
        <v>-0.19182688774073298</v>
      </c>
    </row>
    <row r="34" spans="2:19" ht="16.350000000000001" customHeight="1" x14ac:dyDescent="0.3">
      <c r="B34" s="272" t="s">
        <v>192</v>
      </c>
      <c r="C34" s="273">
        <f>Q36+Q37</f>
        <v>-150000</v>
      </c>
      <c r="E34" s="280"/>
      <c r="F34" s="281" t="s">
        <v>193</v>
      </c>
      <c r="G34" s="282">
        <v>-45000</v>
      </c>
      <c r="H34" s="283"/>
      <c r="I34" s="283"/>
      <c r="J34" s="283"/>
      <c r="K34" s="283"/>
      <c r="L34" s="283"/>
      <c r="M34" s="283"/>
      <c r="N34" s="283"/>
      <c r="O34" s="283"/>
      <c r="P34" s="283"/>
      <c r="Q34" s="284">
        <f t="shared" ref="Q34:Q39" si="7">SUM(G34:P34)</f>
        <v>-45000</v>
      </c>
      <c r="R34" s="278" t="s">
        <v>194</v>
      </c>
    </row>
    <row r="35" spans="2:19" ht="16.350000000000001" customHeight="1" x14ac:dyDescent="0.3">
      <c r="B35" s="272"/>
      <c r="C35" s="273"/>
      <c r="E35" s="280"/>
      <c r="F35" s="281" t="s">
        <v>195</v>
      </c>
      <c r="G35" s="282"/>
      <c r="H35" s="283"/>
      <c r="I35" s="283"/>
      <c r="J35" s="283"/>
      <c r="K35" s="283"/>
      <c r="L35" s="283"/>
      <c r="M35" s="283"/>
      <c r="N35" s="283"/>
      <c r="O35" s="283"/>
      <c r="P35" s="283"/>
      <c r="Q35" s="284">
        <f t="shared" si="7"/>
        <v>0</v>
      </c>
      <c r="R35" s="256"/>
    </row>
    <row r="36" spans="2:19" x14ac:dyDescent="0.3">
      <c r="B36" s="272" t="s">
        <v>196</v>
      </c>
      <c r="C36" s="273">
        <f>Q38</f>
        <v>-636606.91902008234</v>
      </c>
      <c r="E36" s="280"/>
      <c r="F36" s="281" t="s">
        <v>197</v>
      </c>
      <c r="G36" s="282"/>
      <c r="H36" s="282"/>
      <c r="I36" s="282"/>
      <c r="J36" s="282"/>
      <c r="K36" s="282"/>
      <c r="L36" s="282"/>
      <c r="M36" s="282"/>
      <c r="N36" s="282"/>
      <c r="O36" s="282"/>
      <c r="P36" s="282"/>
      <c r="Q36" s="284">
        <f t="shared" si="7"/>
        <v>0</v>
      </c>
      <c r="R36" s="256"/>
    </row>
    <row r="37" spans="2:19" x14ac:dyDescent="0.3">
      <c r="B37" s="285" t="s">
        <v>198</v>
      </c>
      <c r="C37" s="286">
        <f>SUM(C33:C36)</f>
        <v>-831606.91902008234</v>
      </c>
      <c r="E37" s="280"/>
      <c r="F37" s="281" t="s">
        <v>199</v>
      </c>
      <c r="G37" s="282"/>
      <c r="H37" s="282">
        <v>-75000</v>
      </c>
      <c r="I37" s="282">
        <v>-75000</v>
      </c>
      <c r="J37" s="282"/>
      <c r="K37" s="282"/>
      <c r="L37" s="282"/>
      <c r="M37" s="282"/>
      <c r="N37" s="282"/>
      <c r="O37" s="282"/>
      <c r="P37" s="282"/>
      <c r="Q37" s="284">
        <f>SUM(G37:P37)</f>
        <v>-150000</v>
      </c>
      <c r="R37" s="256"/>
      <c r="S37" s="184"/>
    </row>
    <row r="38" spans="2:19" ht="14.7" customHeight="1" x14ac:dyDescent="0.3">
      <c r="B38" s="287" t="s">
        <v>200</v>
      </c>
      <c r="C38" s="287"/>
      <c r="E38" s="280"/>
      <c r="F38" s="288" t="s">
        <v>201</v>
      </c>
      <c r="G38" s="282">
        <f>IF(SUM($G$117:G117)-SUM($G34:G$37)&gt;0,0,SUM($G$117:G117)-SUM($G34:G$37))</f>
        <v>0</v>
      </c>
      <c r="H38" s="282">
        <f>IF((SUM($G$117:H117)-SUM($G34:H$37)-SUM($G$38:G38))&gt;0,0,SUM($G$117:H117)-SUM($G34:H$37)-SUM($G38:G38))</f>
        <v>0</v>
      </c>
      <c r="I38" s="282">
        <f>IF((SUM($G$117:I117)-SUM($G34:I$37)-SUM($G$38:H38))&gt;0,0,SUM($G$117:I117)-SUM($G34:I$37)-SUM($G38:H38))</f>
        <v>-6884.4635414696822</v>
      </c>
      <c r="J38" s="282">
        <f>IF((SUM($G$117:J117)-SUM($G34:J$37)-SUM($G$38:I38))&gt;0,0,SUM($G$117:J117)-SUM($G34:J$37)-SUM($G38:I38))</f>
        <v>-215335.944554374</v>
      </c>
      <c r="K38" s="282">
        <f>IF((SUM($G$117:K117)-SUM($G34:K$37)-SUM($G$38:J38))&gt;0,0,SUM($G$117:K117)-SUM($G34:K$37)-SUM($G38:J38))</f>
        <v>-414386.51092423865</v>
      </c>
      <c r="L38" s="282">
        <f>IF((SUM($G$117:L117)-SUM($G34:L$37)-SUM($G$38:K38))&gt;0,0,SUM($G$117:L117)-SUM($G34:L$37)-SUM($G38:K38))</f>
        <v>0</v>
      </c>
      <c r="M38" s="282">
        <f>IF((SUM($G$117:M117)-SUM($G34:M$37)-SUM($G$38:L38))&gt;0,0,SUM($G$117:M117)-SUM($G34:M$37)-SUM($G38:L38))</f>
        <v>0</v>
      </c>
      <c r="N38" s="282">
        <f>IF((SUM($G$117:N117)-SUM($G34:N$37)-SUM($G$38:M38))&gt;0,0,SUM($G$117:N117)-SUM($G34:N$37)-SUM($G38:M38))</f>
        <v>0</v>
      </c>
      <c r="O38" s="282">
        <f>IF((SUM($G$117:O117)-SUM($G34:O$37)-SUM($G$38:N38))&gt;0,0,SUM($G$117:O117)-SUM($G34:O$37)-SUM($G38:N38))</f>
        <v>0</v>
      </c>
      <c r="P38" s="282">
        <f>IF((SUM($G$117:P117)-SUM($G34:P$37)-SUM($G$38:O38))&gt;0,0,SUM($G$117:P117)-SUM($G34:P$37)-SUM($G38:O38))</f>
        <v>0</v>
      </c>
      <c r="Q38" s="284">
        <f t="shared" si="7"/>
        <v>-636606.91902008234</v>
      </c>
      <c r="R38" s="256"/>
      <c r="S38" s="184"/>
    </row>
    <row r="39" spans="2:19" ht="18" customHeight="1" thickBot="1" x14ac:dyDescent="0.35">
      <c r="B39" s="289" t="s">
        <v>202</v>
      </c>
      <c r="C39" s="290"/>
      <c r="E39" s="291"/>
      <c r="F39" s="292" t="s">
        <v>203</v>
      </c>
      <c r="G39" s="293">
        <f>SUM(G36,G38,G34)*$C$30</f>
        <v>-1246.5</v>
      </c>
      <c r="H39" s="293">
        <f t="shared" ref="H39:P39" si="8">SUM(H36,H38,H34)*$C$30</f>
        <v>0</v>
      </c>
      <c r="I39" s="293">
        <f t="shared" si="8"/>
        <v>-190.69964009871018</v>
      </c>
      <c r="J39" s="293">
        <f t="shared" si="8"/>
        <v>-5964.8056641561598</v>
      </c>
      <c r="K39" s="293">
        <f t="shared" si="8"/>
        <v>-11478.506352601411</v>
      </c>
      <c r="L39" s="293">
        <f t="shared" si="8"/>
        <v>0</v>
      </c>
      <c r="M39" s="293">
        <f t="shared" si="8"/>
        <v>0</v>
      </c>
      <c r="N39" s="293">
        <f t="shared" si="8"/>
        <v>0</v>
      </c>
      <c r="O39" s="293">
        <f t="shared" si="8"/>
        <v>0</v>
      </c>
      <c r="P39" s="293">
        <f t="shared" si="8"/>
        <v>0</v>
      </c>
      <c r="Q39" s="294">
        <f t="shared" si="7"/>
        <v>-18880.511656856281</v>
      </c>
      <c r="R39" s="256"/>
    </row>
    <row r="40" spans="2:19" ht="7.2" customHeight="1" x14ac:dyDescent="0.3">
      <c r="B40" s="295"/>
      <c r="C40" s="296"/>
      <c r="E40" s="297"/>
      <c r="F40" s="297"/>
      <c r="G40" s="298"/>
      <c r="H40" s="298"/>
      <c r="I40" s="298"/>
      <c r="J40" s="298"/>
      <c r="K40" s="298"/>
      <c r="L40" s="298"/>
      <c r="M40" s="298"/>
      <c r="N40" s="298"/>
      <c r="O40" s="298"/>
      <c r="P40" s="298"/>
      <c r="Q40" s="298"/>
    </row>
    <row r="41" spans="2:19" ht="17.7" customHeight="1" thickBot="1" x14ac:dyDescent="0.35">
      <c r="E41" s="299" t="s">
        <v>204</v>
      </c>
      <c r="F41" s="299"/>
      <c r="G41" s="300">
        <f t="shared" ref="G41:P41" si="9">G18+G33</f>
        <v>234347.11096534418</v>
      </c>
      <c r="H41" s="300">
        <f t="shared" si="9"/>
        <v>628491.33814131771</v>
      </c>
      <c r="I41" s="300">
        <f t="shared" si="9"/>
        <v>1312621.6719384599</v>
      </c>
      <c r="J41" s="300">
        <f t="shared" si="9"/>
        <v>1640374.0940469161</v>
      </c>
      <c r="K41" s="300">
        <f t="shared" si="9"/>
        <v>2420360.8766048485</v>
      </c>
      <c r="L41" s="300">
        <f t="shared" si="9"/>
        <v>0</v>
      </c>
      <c r="M41" s="300">
        <f t="shared" si="9"/>
        <v>0</v>
      </c>
      <c r="N41" s="300">
        <f t="shared" si="9"/>
        <v>0</v>
      </c>
      <c r="O41" s="300">
        <f t="shared" si="9"/>
        <v>0</v>
      </c>
      <c r="P41" s="300">
        <f t="shared" si="9"/>
        <v>0</v>
      </c>
      <c r="Q41" s="300">
        <f>SUM(G41:P41)</f>
        <v>6236195.0916968863</v>
      </c>
    </row>
    <row r="42" spans="2:19" ht="15" customHeight="1" thickTop="1" x14ac:dyDescent="0.3">
      <c r="B42" s="301"/>
      <c r="C42" s="301"/>
      <c r="E42" s="302" t="s">
        <v>205</v>
      </c>
      <c r="F42" s="302"/>
      <c r="G42" s="303">
        <f>G41</f>
        <v>234347.11096534418</v>
      </c>
      <c r="H42" s="303">
        <f>G42+H41</f>
        <v>862838.44910666184</v>
      </c>
      <c r="I42" s="303">
        <f>H42+I41</f>
        <v>2175460.1210451219</v>
      </c>
      <c r="J42" s="303">
        <f>I42+J41</f>
        <v>3815834.2150920378</v>
      </c>
      <c r="K42" s="303">
        <f t="shared" ref="K42:P42" si="10">J42+K41</f>
        <v>6236195.0916968863</v>
      </c>
      <c r="L42" s="303">
        <f t="shared" si="10"/>
        <v>6236195.0916968863</v>
      </c>
      <c r="M42" s="303">
        <f t="shared" si="10"/>
        <v>6236195.0916968863</v>
      </c>
      <c r="N42" s="303">
        <f t="shared" si="10"/>
        <v>6236195.0916968863</v>
      </c>
      <c r="O42" s="303">
        <f t="shared" si="10"/>
        <v>6236195.0916968863</v>
      </c>
      <c r="P42" s="303">
        <f t="shared" si="10"/>
        <v>6236195.0916968863</v>
      </c>
      <c r="Q42" s="303">
        <f>Q41</f>
        <v>6236195.0916968863</v>
      </c>
    </row>
    <row r="43" spans="2:19" ht="9.6" customHeight="1" x14ac:dyDescent="0.3">
      <c r="E43" s="297"/>
      <c r="F43" s="297"/>
      <c r="G43" s="304"/>
      <c r="H43" s="304"/>
      <c r="I43" s="304"/>
      <c r="J43" s="304"/>
      <c r="K43" s="304"/>
      <c r="L43" s="304"/>
      <c r="M43" s="304"/>
      <c r="N43" s="304"/>
      <c r="O43" s="304"/>
      <c r="P43" s="304"/>
      <c r="Q43" s="304"/>
    </row>
    <row r="44" spans="2:19" ht="15" customHeight="1" x14ac:dyDescent="0.3">
      <c r="E44" s="305" t="s">
        <v>206</v>
      </c>
      <c r="F44" s="305"/>
      <c r="G44" s="306">
        <f>G45+G46+G47</f>
        <v>-2574.4744999999998</v>
      </c>
      <c r="H44" s="306">
        <f t="shared" ref="H44:P44" si="11">H45+H46+H47</f>
        <v>-60173.020139402455</v>
      </c>
      <c r="I44" s="306">
        <f t="shared" si="11"/>
        <v>-62431.966463309291</v>
      </c>
      <c r="J44" s="306">
        <f t="shared" si="11"/>
        <v>-8257.880614333737</v>
      </c>
      <c r="K44" s="306">
        <f t="shared" si="11"/>
        <v>-11554.680644210051</v>
      </c>
      <c r="L44" s="306">
        <f t="shared" si="11"/>
        <v>0</v>
      </c>
      <c r="M44" s="306">
        <f t="shared" si="11"/>
        <v>0</v>
      </c>
      <c r="N44" s="306">
        <f t="shared" si="11"/>
        <v>0</v>
      </c>
      <c r="O44" s="306">
        <f t="shared" si="11"/>
        <v>0</v>
      </c>
      <c r="P44" s="306">
        <f t="shared" si="11"/>
        <v>0</v>
      </c>
      <c r="Q44" s="306">
        <f>SUM(G44:P44)</f>
        <v>-144992.02236125551</v>
      </c>
    </row>
    <row r="45" spans="2:19" ht="15" customHeight="1" x14ac:dyDescent="0.3">
      <c r="E45" s="307"/>
      <c r="F45" s="308" t="s">
        <v>207</v>
      </c>
      <c r="G45" s="309">
        <f t="shared" ref="G45:P45" si="12">-G$7*G$64</f>
        <v>-1370.6357197183097</v>
      </c>
      <c r="H45" s="309">
        <f t="shared" si="12"/>
        <v>-2088.5938206959563</v>
      </c>
      <c r="I45" s="309">
        <f t="shared" si="12"/>
        <v>-3291.2441170857928</v>
      </c>
      <c r="J45" s="309">
        <f t="shared" si="12"/>
        <v>-4396.4491158002147</v>
      </c>
      <c r="K45" s="309">
        <f t="shared" si="12"/>
        <v>-6151.646878185069</v>
      </c>
      <c r="L45" s="309">
        <f t="shared" si="12"/>
        <v>0</v>
      </c>
      <c r="M45" s="309">
        <f t="shared" si="12"/>
        <v>0</v>
      </c>
      <c r="N45" s="309">
        <f t="shared" si="12"/>
        <v>0</v>
      </c>
      <c r="O45" s="309">
        <f t="shared" si="12"/>
        <v>0</v>
      </c>
      <c r="P45" s="309">
        <f t="shared" si="12"/>
        <v>0</v>
      </c>
      <c r="Q45" s="309">
        <f>SUM(G45:P45)</f>
        <v>-17298.569651485341</v>
      </c>
    </row>
    <row r="46" spans="2:19" ht="15" customHeight="1" x14ac:dyDescent="0.3">
      <c r="E46" s="307"/>
      <c r="F46" s="308" t="s">
        <v>208</v>
      </c>
      <c r="G46" s="309">
        <f t="shared" ref="G46:P46" si="13">-G$7*G$65</f>
        <v>-1203.8387802816901</v>
      </c>
      <c r="H46" s="309">
        <f t="shared" si="13"/>
        <v>-1834.4263187065019</v>
      </c>
      <c r="I46" s="309">
        <f t="shared" si="13"/>
        <v>-2890.7223462235006</v>
      </c>
      <c r="J46" s="309">
        <f t="shared" si="13"/>
        <v>-3861.4314985335222</v>
      </c>
      <c r="K46" s="309">
        <f t="shared" si="13"/>
        <v>-5403.0337660249825</v>
      </c>
      <c r="L46" s="309">
        <f t="shared" si="13"/>
        <v>0</v>
      </c>
      <c r="M46" s="309">
        <f t="shared" si="13"/>
        <v>0</v>
      </c>
      <c r="N46" s="309">
        <f t="shared" si="13"/>
        <v>0</v>
      </c>
      <c r="O46" s="309">
        <f t="shared" si="13"/>
        <v>0</v>
      </c>
      <c r="P46" s="309">
        <f t="shared" si="13"/>
        <v>0</v>
      </c>
      <c r="Q46" s="309">
        <f>SUM(G46:P46)</f>
        <v>-15193.452709770198</v>
      </c>
      <c r="S46" s="1">
        <f>0.034*0.8</f>
        <v>2.7200000000000002E-2</v>
      </c>
    </row>
    <row r="47" spans="2:19" ht="15" customHeight="1" x14ac:dyDescent="0.3">
      <c r="B47" s="184">
        <f>SUM($G$117:H117)-SUM($G34:H$37)-SUM($G$38:G38)</f>
        <v>70576.556392241677</v>
      </c>
      <c r="E47" s="310">
        <v>0.75</v>
      </c>
      <c r="F47" s="308" t="s">
        <v>209</v>
      </c>
      <c r="G47" s="309">
        <f t="shared" ref="G47:P47" si="14">-G28*$E$47</f>
        <v>0</v>
      </c>
      <c r="H47" s="309">
        <f t="shared" si="14"/>
        <v>-56250</v>
      </c>
      <c r="I47" s="309">
        <f t="shared" si="14"/>
        <v>-56250</v>
      </c>
      <c r="J47" s="309">
        <f t="shared" si="14"/>
        <v>0</v>
      </c>
      <c r="K47" s="309">
        <f t="shared" si="14"/>
        <v>0</v>
      </c>
      <c r="L47" s="309">
        <f t="shared" si="14"/>
        <v>0</v>
      </c>
      <c r="M47" s="309">
        <f t="shared" si="14"/>
        <v>0</v>
      </c>
      <c r="N47" s="309">
        <f t="shared" si="14"/>
        <v>0</v>
      </c>
      <c r="O47" s="309">
        <f t="shared" si="14"/>
        <v>0</v>
      </c>
      <c r="P47" s="309">
        <f t="shared" si="14"/>
        <v>0</v>
      </c>
      <c r="Q47" s="309">
        <f>SUM(G47:P47)</f>
        <v>-112500</v>
      </c>
      <c r="S47" s="1">
        <v>2.5000000000000001E-2</v>
      </c>
    </row>
    <row r="48" spans="2:19" ht="15" customHeight="1" thickBot="1" x14ac:dyDescent="0.35">
      <c r="E48" s="299" t="s">
        <v>210</v>
      </c>
      <c r="F48" s="299"/>
      <c r="G48" s="300">
        <f>G44+G41</f>
        <v>231772.63646534417</v>
      </c>
      <c r="H48" s="300">
        <f t="shared" ref="H48:P48" si="15">H44+H41</f>
        <v>568318.31800191524</v>
      </c>
      <c r="I48" s="300">
        <f t="shared" si="15"/>
        <v>1250189.7054751506</v>
      </c>
      <c r="J48" s="300">
        <f t="shared" si="15"/>
        <v>1632116.2134325823</v>
      </c>
      <c r="K48" s="300">
        <f t="shared" si="15"/>
        <v>2408806.1959606386</v>
      </c>
      <c r="L48" s="300">
        <f t="shared" si="15"/>
        <v>0</v>
      </c>
      <c r="M48" s="300">
        <f t="shared" si="15"/>
        <v>0</v>
      </c>
      <c r="N48" s="300">
        <f t="shared" si="15"/>
        <v>0</v>
      </c>
      <c r="O48" s="300">
        <f t="shared" si="15"/>
        <v>0</v>
      </c>
      <c r="P48" s="300">
        <f t="shared" si="15"/>
        <v>0</v>
      </c>
      <c r="Q48" s="300">
        <f>SUM(G48:P48)</f>
        <v>6091203.0693356302</v>
      </c>
    </row>
    <row r="49" spans="2:20" ht="15" customHeight="1" thickTop="1" x14ac:dyDescent="0.3">
      <c r="E49" s="302" t="s">
        <v>211</v>
      </c>
      <c r="F49" s="302"/>
      <c r="G49" s="303">
        <f>G48</f>
        <v>231772.63646534417</v>
      </c>
      <c r="H49" s="303">
        <f>G49+H48</f>
        <v>800090.95446725935</v>
      </c>
      <c r="I49" s="303">
        <f t="shared" ref="I49:P49" si="16">H49+I48</f>
        <v>2050280.65994241</v>
      </c>
      <c r="J49" s="303">
        <f t="shared" si="16"/>
        <v>3682396.8733749921</v>
      </c>
      <c r="K49" s="303">
        <f t="shared" si="16"/>
        <v>6091203.0693356302</v>
      </c>
      <c r="L49" s="303">
        <f t="shared" si="16"/>
        <v>6091203.0693356302</v>
      </c>
      <c r="M49" s="303">
        <f t="shared" si="16"/>
        <v>6091203.0693356302</v>
      </c>
      <c r="N49" s="303">
        <f t="shared" si="16"/>
        <v>6091203.0693356302</v>
      </c>
      <c r="O49" s="303">
        <f t="shared" si="16"/>
        <v>6091203.0693356302</v>
      </c>
      <c r="P49" s="303">
        <f t="shared" si="16"/>
        <v>6091203.0693356302</v>
      </c>
      <c r="Q49" s="303">
        <f>Q48</f>
        <v>6091203.0693356302</v>
      </c>
    </row>
    <row r="50" spans="2:20" ht="15" customHeight="1" x14ac:dyDescent="0.3">
      <c r="B50" s="295"/>
      <c r="C50" s="295"/>
      <c r="E50" s="308"/>
      <c r="F50" s="308"/>
      <c r="G50" s="311"/>
      <c r="H50" s="311"/>
      <c r="I50" s="311"/>
      <c r="J50" s="311"/>
      <c r="K50" s="311"/>
      <c r="L50" s="311"/>
      <c r="M50" s="311"/>
      <c r="N50" s="311"/>
      <c r="O50" s="311"/>
      <c r="P50" s="311"/>
      <c r="Q50" s="311"/>
    </row>
    <row r="51" spans="2:20" ht="15" customHeight="1" x14ac:dyDescent="0.3">
      <c r="C51" s="295"/>
      <c r="E51" s="302" t="s">
        <v>212</v>
      </c>
      <c r="F51" s="302"/>
      <c r="G51" s="303">
        <f>G57</f>
        <v>206611.48769576743</v>
      </c>
      <c r="H51" s="303">
        <f t="shared" ref="H51:P51" si="17">H57</f>
        <v>676296.04802792869</v>
      </c>
      <c r="I51" s="303">
        <f t="shared" si="17"/>
        <v>1615582.0776861934</v>
      </c>
      <c r="J51" s="303">
        <f t="shared" si="17"/>
        <v>2730339.4121801364</v>
      </c>
      <c r="K51" s="303">
        <f t="shared" si="17"/>
        <v>4226018.5423691059</v>
      </c>
      <c r="L51" s="303">
        <f t="shared" si="17"/>
        <v>4226018.5423691059</v>
      </c>
      <c r="M51" s="303">
        <f t="shared" si="17"/>
        <v>4226018.5423691059</v>
      </c>
      <c r="N51" s="303">
        <f t="shared" si="17"/>
        <v>4226018.5423691059</v>
      </c>
      <c r="O51" s="303">
        <f t="shared" si="17"/>
        <v>4226018.5423691059</v>
      </c>
      <c r="P51" s="303">
        <f t="shared" si="17"/>
        <v>4226018.5423691059</v>
      </c>
      <c r="Q51" s="303">
        <f>P51</f>
        <v>4226018.5423691059</v>
      </c>
      <c r="S51" s="184"/>
    </row>
    <row r="53" spans="2:20" hidden="1" outlineLevel="1" x14ac:dyDescent="0.3">
      <c r="E53" s="302" t="s">
        <v>213</v>
      </c>
      <c r="F53" s="302"/>
      <c r="G53" s="312">
        <f t="shared" ref="G53:Q53" si="18">IFERROR(G41/G7,0)</f>
        <v>0.23876424958262271</v>
      </c>
      <c r="H53" s="312">
        <f t="shared" si="18"/>
        <v>0.3876985037690005</v>
      </c>
      <c r="I53" s="312">
        <f t="shared" si="18"/>
        <v>0.48156617633328008</v>
      </c>
      <c r="J53" s="312">
        <f t="shared" si="18"/>
        <v>0.42609025197375339</v>
      </c>
      <c r="K53" s="312">
        <f t="shared" si="18"/>
        <v>0.42731913934359123</v>
      </c>
      <c r="L53" s="312">
        <f t="shared" si="18"/>
        <v>0</v>
      </c>
      <c r="M53" s="312">
        <f t="shared" si="18"/>
        <v>0</v>
      </c>
      <c r="N53" s="312">
        <f t="shared" si="18"/>
        <v>0</v>
      </c>
      <c r="O53" s="312">
        <f t="shared" si="18"/>
        <v>0</v>
      </c>
      <c r="P53" s="312">
        <f t="shared" si="18"/>
        <v>0</v>
      </c>
      <c r="Q53" s="312">
        <f t="shared" si="18"/>
        <v>0.42016636620307107</v>
      </c>
    </row>
    <row r="54" spans="2:20" hidden="1" outlineLevel="1" x14ac:dyDescent="0.3">
      <c r="E54" s="302" t="s">
        <v>214</v>
      </c>
      <c r="F54" s="302"/>
      <c r="G54" s="313">
        <f t="shared" ref="G54:Q54" si="19">IFERROR(G41/G6*10000,0)</f>
        <v>11.971887066278063</v>
      </c>
      <c r="H54" s="313">
        <f t="shared" si="19"/>
        <v>19.876046452820578</v>
      </c>
      <c r="I54" s="313">
        <f t="shared" si="19"/>
        <v>25.244546645098659</v>
      </c>
      <c r="J54" s="313">
        <f t="shared" si="19"/>
        <v>22.336401038118137</v>
      </c>
      <c r="K54" s="313">
        <f t="shared" si="19"/>
        <v>22.502212879605896</v>
      </c>
      <c r="L54" s="313">
        <f t="shared" si="19"/>
        <v>0</v>
      </c>
      <c r="M54" s="313">
        <f t="shared" si="19"/>
        <v>0</v>
      </c>
      <c r="N54" s="313">
        <f t="shared" si="19"/>
        <v>0</v>
      </c>
      <c r="O54" s="313">
        <f t="shared" si="19"/>
        <v>0</v>
      </c>
      <c r="P54" s="313">
        <f t="shared" si="19"/>
        <v>0</v>
      </c>
      <c r="Q54" s="313">
        <f t="shared" si="19"/>
        <v>21.943591630212708</v>
      </c>
    </row>
    <row r="55" spans="2:20" hidden="1" outlineLevel="1" x14ac:dyDescent="0.3">
      <c r="E55" s="302" t="s">
        <v>215</v>
      </c>
      <c r="F55" s="302"/>
      <c r="G55" s="313">
        <f>IFERROR(SUM($G$41:G41)/SUM($G$6:G6)*10000,"")</f>
        <v>11.971887066278063</v>
      </c>
      <c r="H55" s="313">
        <f>IFERROR(SUM($G$41:H41)/SUM($G$6:H6)*10000,"")</f>
        <v>16.853852212751327</v>
      </c>
      <c r="I55" s="313">
        <f>IFERROR(SUM($G$41:I41)/SUM($G$6:I6)*10000,"")</f>
        <v>21.081761605598157</v>
      </c>
      <c r="J55" s="313">
        <f>IFERROR(SUM($G$41:J41)/SUM($G$6:J6)*10000,"")</f>
        <v>21.603414396164908</v>
      </c>
      <c r="K55" s="313">
        <f>IFERROR(SUM($G$41:K41)/SUM($G$6:K6)*10000,"")</f>
        <v>21.943591630212708</v>
      </c>
      <c r="L55" s="313">
        <f>IFERROR(SUM($G$41:L41)/SUM($G$6:L6)*10000,"")</f>
        <v>21.943591630212708</v>
      </c>
      <c r="M55" s="313">
        <f>IFERROR(SUM($G$41:M41)/SUM($G$6:M6)*10000,"")</f>
        <v>21.943591630212708</v>
      </c>
      <c r="N55" s="313">
        <f>IFERROR(SUM($G$41:N41)/SUM($G$6:N6)*10000,"")</f>
        <v>21.943591630212708</v>
      </c>
      <c r="O55" s="313">
        <f>IFERROR(SUM($G$41:O41)/SUM($G$6:O6)*10000,"")</f>
        <v>21.943591630212708</v>
      </c>
      <c r="P55" s="313">
        <f>IFERROR(SUM($G$41:P41)/SUM($G$6:P6)*10000,"")</f>
        <v>21.943591630212708</v>
      </c>
      <c r="Q55" s="313">
        <f>P55</f>
        <v>21.943591630212708</v>
      </c>
      <c r="T55" s="140">
        <f>SUM(G117:H117)</f>
        <v>-49423.44360775833</v>
      </c>
    </row>
    <row r="56" spans="2:20" ht="3.75" hidden="1" customHeight="1" outlineLevel="1" x14ac:dyDescent="0.3"/>
    <row r="57" spans="2:20" hidden="1" outlineLevel="1" x14ac:dyDescent="0.3">
      <c r="E57" s="302" t="s">
        <v>216</v>
      </c>
      <c r="F57" s="302"/>
      <c r="G57" s="314">
        <f>G62</f>
        <v>206611.48769576743</v>
      </c>
      <c r="H57" s="314">
        <f t="shared" ref="H57:Q57" si="20">H62</f>
        <v>676296.04802792869</v>
      </c>
      <c r="I57" s="314">
        <f t="shared" si="20"/>
        <v>1615582.0776861934</v>
      </c>
      <c r="J57" s="314">
        <f t="shared" si="20"/>
        <v>2730339.4121801364</v>
      </c>
      <c r="K57" s="314">
        <f t="shared" si="20"/>
        <v>4226018.5423691059</v>
      </c>
      <c r="L57" s="314">
        <f t="shared" si="20"/>
        <v>4226018.5423691059</v>
      </c>
      <c r="M57" s="314">
        <f t="shared" si="20"/>
        <v>4226018.5423691059</v>
      </c>
      <c r="N57" s="314">
        <f t="shared" si="20"/>
        <v>4226018.5423691059</v>
      </c>
      <c r="O57" s="314">
        <f t="shared" si="20"/>
        <v>4226018.5423691059</v>
      </c>
      <c r="P57" s="314">
        <f t="shared" si="20"/>
        <v>4226018.5423691059</v>
      </c>
      <c r="Q57" s="314">
        <f t="shared" si="20"/>
        <v>4226018.5423691059</v>
      </c>
    </row>
    <row r="58" spans="2:20" ht="15" hidden="1" customHeight="1" outlineLevel="1" x14ac:dyDescent="0.3">
      <c r="E58" s="315"/>
      <c r="F58" s="315"/>
      <c r="G58" s="316"/>
      <c r="H58" s="316"/>
      <c r="I58" s="316"/>
      <c r="J58" s="316"/>
      <c r="K58" s="316"/>
      <c r="L58" s="316"/>
      <c r="M58" s="316"/>
      <c r="N58" s="316"/>
      <c r="O58" s="316"/>
      <c r="P58" s="316"/>
      <c r="Q58" s="316"/>
    </row>
    <row r="59" spans="2:20" hidden="1" outlineLevel="1" x14ac:dyDescent="0.3">
      <c r="G59" s="1">
        <v>1</v>
      </c>
      <c r="H59" s="1">
        <v>2</v>
      </c>
      <c r="I59" s="1">
        <v>3</v>
      </c>
      <c r="J59" s="1">
        <v>4</v>
      </c>
      <c r="K59" s="1">
        <v>5</v>
      </c>
      <c r="L59" s="1">
        <v>6</v>
      </c>
      <c r="M59" s="1">
        <v>7</v>
      </c>
      <c r="N59" s="1">
        <v>8</v>
      </c>
      <c r="O59" s="1">
        <v>9</v>
      </c>
      <c r="P59" s="1">
        <v>10</v>
      </c>
    </row>
    <row r="60" spans="2:20" ht="15.6" hidden="1" outlineLevel="1" x14ac:dyDescent="0.3">
      <c r="F60" s="317">
        <v>1</v>
      </c>
      <c r="G60" s="318">
        <f t="shared" ref="G60:P60" si="21">(1+$E$61)^-G59</f>
        <v>0.90909090909090906</v>
      </c>
      <c r="H60" s="318">
        <f t="shared" si="21"/>
        <v>0.82644628099173545</v>
      </c>
      <c r="I60" s="318">
        <f t="shared" si="21"/>
        <v>0.75131480090157754</v>
      </c>
      <c r="J60" s="318">
        <f t="shared" si="21"/>
        <v>0.68301345536507052</v>
      </c>
      <c r="K60" s="318">
        <f t="shared" si="21"/>
        <v>0.62092132305915493</v>
      </c>
      <c r="L60" s="318">
        <f t="shared" si="21"/>
        <v>0.56447393005377722</v>
      </c>
      <c r="M60" s="318">
        <f t="shared" si="21"/>
        <v>0.51315811823070645</v>
      </c>
      <c r="N60" s="318">
        <f t="shared" si="21"/>
        <v>0.46650738020973315</v>
      </c>
      <c r="O60" s="318">
        <f t="shared" si="21"/>
        <v>0.42409761837248466</v>
      </c>
      <c r="P60" s="318">
        <f t="shared" si="21"/>
        <v>0.38554328942953148</v>
      </c>
    </row>
    <row r="61" spans="2:20" hidden="1" outlineLevel="1" x14ac:dyDescent="0.3">
      <c r="E61" s="155">
        <v>0.1</v>
      </c>
      <c r="F61" s="45">
        <f>G34</f>
        <v>-45000</v>
      </c>
      <c r="G61" s="45">
        <f>G60*SUM(G36:G39,G18,G44)</f>
        <v>251611.48769576743</v>
      </c>
      <c r="H61" s="45">
        <f t="shared" ref="H61:P61" si="22">H60*SUM(H36:H39,H18,H44)</f>
        <v>469684.56033216132</v>
      </c>
      <c r="I61" s="45">
        <f t="shared" si="22"/>
        <v>939286.0296582646</v>
      </c>
      <c r="J61" s="45">
        <f t="shared" si="22"/>
        <v>1114757.334493943</v>
      </c>
      <c r="K61" s="45">
        <f t="shared" si="22"/>
        <v>1495679.1301889697</v>
      </c>
      <c r="L61" s="45">
        <f t="shared" si="22"/>
        <v>0</v>
      </c>
      <c r="M61" s="45">
        <f t="shared" si="22"/>
        <v>0</v>
      </c>
      <c r="N61" s="45">
        <f t="shared" si="22"/>
        <v>0</v>
      </c>
      <c r="O61" s="45">
        <f t="shared" si="22"/>
        <v>0</v>
      </c>
      <c r="P61" s="45">
        <f t="shared" si="22"/>
        <v>0</v>
      </c>
      <c r="Q61" s="140">
        <f>SUM(F61:P61)</f>
        <v>4226018.5423691059</v>
      </c>
      <c r="T61" s="319"/>
    </row>
    <row r="62" spans="2:20" hidden="1" outlineLevel="1" x14ac:dyDescent="0.3">
      <c r="E62" s="203" t="s">
        <v>217</v>
      </c>
      <c r="F62" s="45">
        <f>F61</f>
        <v>-45000</v>
      </c>
      <c r="G62" s="45">
        <f>F62+G61</f>
        <v>206611.48769576743</v>
      </c>
      <c r="H62" s="45">
        <f t="shared" ref="H62:P62" si="23">G62+H61</f>
        <v>676296.04802792869</v>
      </c>
      <c r="I62" s="45">
        <f t="shared" si="23"/>
        <v>1615582.0776861934</v>
      </c>
      <c r="J62" s="45">
        <f t="shared" si="23"/>
        <v>2730339.4121801364</v>
      </c>
      <c r="K62" s="45">
        <f t="shared" si="23"/>
        <v>4226018.5423691059</v>
      </c>
      <c r="L62" s="45">
        <f t="shared" si="23"/>
        <v>4226018.5423691059</v>
      </c>
      <c r="M62" s="45">
        <f t="shared" si="23"/>
        <v>4226018.5423691059</v>
      </c>
      <c r="N62" s="45">
        <f t="shared" si="23"/>
        <v>4226018.5423691059</v>
      </c>
      <c r="O62" s="45">
        <f t="shared" si="23"/>
        <v>4226018.5423691059</v>
      </c>
      <c r="P62" s="45">
        <f t="shared" si="23"/>
        <v>4226018.5423691059</v>
      </c>
      <c r="Q62" s="45">
        <f>IFERROR(HLOOKUP($C$15,$G$59:$P$62,4,0),0)</f>
        <v>4226018.5423691059</v>
      </c>
      <c r="T62" s="184"/>
    </row>
    <row r="63" spans="2:20" hidden="1" outlineLevel="1" x14ac:dyDescent="0.3"/>
    <row r="64" spans="2:20" hidden="1" outlineLevel="1" x14ac:dyDescent="0.3">
      <c r="E64" s="320">
        <v>0.53239436619718306</v>
      </c>
      <c r="F64" s="164" t="s">
        <v>207</v>
      </c>
      <c r="G64" s="321">
        <f>G$66*$E64</f>
        <v>1.3964704225352112E-3</v>
      </c>
      <c r="H64" s="321">
        <f t="shared" ref="H64:P65" si="24">H$66*$E64</f>
        <v>1.2883943661971828E-3</v>
      </c>
      <c r="I64" s="321">
        <f t="shared" si="24"/>
        <v>1.2074704225352112E-3</v>
      </c>
      <c r="J64" s="321">
        <f t="shared" si="24"/>
        <v>1.1419859154929578E-3</v>
      </c>
      <c r="K64" s="321">
        <f t="shared" si="24"/>
        <v>1.0860845070422534E-3</v>
      </c>
      <c r="L64" s="321">
        <f t="shared" si="24"/>
        <v>1.0360394366197183E-3</v>
      </c>
      <c r="M64" s="321">
        <f t="shared" si="24"/>
        <v>9.9025352112676063E-4</v>
      </c>
      <c r="N64" s="321">
        <f t="shared" si="24"/>
        <v>9.4819436619718301E-4</v>
      </c>
      <c r="O64" s="321">
        <f t="shared" si="24"/>
        <v>9.4819436619718301E-4</v>
      </c>
      <c r="P64" s="321">
        <f t="shared" si="24"/>
        <v>9.4819436619718301E-4</v>
      </c>
    </row>
    <row r="65" spans="5:19" hidden="1" outlineLevel="1" x14ac:dyDescent="0.3">
      <c r="E65" s="320">
        <v>0.46760563380281694</v>
      </c>
      <c r="F65" s="164" t="s">
        <v>208</v>
      </c>
      <c r="G65" s="321">
        <f>G$66*$E65</f>
        <v>1.2265295774647887E-3</v>
      </c>
      <c r="H65" s="321">
        <f t="shared" si="24"/>
        <v>1.131605633802817E-3</v>
      </c>
      <c r="I65" s="321">
        <f t="shared" si="24"/>
        <v>1.0605295774647888E-3</v>
      </c>
      <c r="J65" s="321">
        <f t="shared" si="24"/>
        <v>1.0030140845070424E-3</v>
      </c>
      <c r="K65" s="321">
        <f t="shared" si="24"/>
        <v>9.5391549295774662E-4</v>
      </c>
      <c r="L65" s="321">
        <f t="shared" si="24"/>
        <v>9.0996056338028179E-4</v>
      </c>
      <c r="M65" s="321">
        <f t="shared" si="24"/>
        <v>8.6974647887323958E-4</v>
      </c>
      <c r="N65" s="321">
        <f t="shared" si="24"/>
        <v>8.3280563380281703E-4</v>
      </c>
      <c r="O65" s="321">
        <f t="shared" si="24"/>
        <v>8.3280563380281703E-4</v>
      </c>
      <c r="P65" s="321">
        <f t="shared" si="24"/>
        <v>8.3280563380281703E-4</v>
      </c>
      <c r="Q65" s="322"/>
    </row>
    <row r="66" spans="5:19" hidden="1" outlineLevel="1" x14ac:dyDescent="0.3">
      <c r="E66" s="164"/>
      <c r="F66" s="164" t="s">
        <v>218</v>
      </c>
      <c r="G66" s="321">
        <v>2.6229999999999999E-3</v>
      </c>
      <c r="H66" s="321">
        <v>2.4199999999999998E-3</v>
      </c>
      <c r="I66" s="321">
        <v>2.2680000000000001E-3</v>
      </c>
      <c r="J66" s="321">
        <v>2.1450000000000002E-3</v>
      </c>
      <c r="K66" s="321">
        <v>2.0400000000000001E-3</v>
      </c>
      <c r="L66" s="321">
        <v>1.946E-3</v>
      </c>
      <c r="M66" s="321">
        <v>1.8600000000000001E-3</v>
      </c>
      <c r="N66" s="321">
        <v>1.781E-3</v>
      </c>
      <c r="O66" s="321">
        <v>1.781E-3</v>
      </c>
      <c r="P66" s="321">
        <v>1.781E-3</v>
      </c>
      <c r="Q66" s="323"/>
    </row>
    <row r="67" spans="5:19" hidden="1" outlineLevel="1" x14ac:dyDescent="0.3">
      <c r="F67" s="1" t="s">
        <v>219</v>
      </c>
      <c r="G67" s="140">
        <f t="shared" ref="G67:P67" si="25">SUM(G19,G20,G22,G23,G25)</f>
        <v>177397.93042413591</v>
      </c>
      <c r="H67" s="140">
        <f t="shared" si="25"/>
        <v>398139.06066871417</v>
      </c>
      <c r="I67" s="140">
        <f t="shared" si="25"/>
        <v>843112.20464199735</v>
      </c>
      <c r="J67" s="140">
        <f t="shared" si="25"/>
        <v>1190811.6778363574</v>
      </c>
      <c r="K67" s="140">
        <f t="shared" si="25"/>
        <v>1824158.6293757968</v>
      </c>
      <c r="L67" s="140">
        <f t="shared" si="25"/>
        <v>0</v>
      </c>
      <c r="M67" s="140">
        <f t="shared" si="25"/>
        <v>0</v>
      </c>
      <c r="N67" s="140">
        <f t="shared" si="25"/>
        <v>0</v>
      </c>
      <c r="O67" s="140">
        <f t="shared" si="25"/>
        <v>0</v>
      </c>
      <c r="P67" s="140">
        <f t="shared" si="25"/>
        <v>0</v>
      </c>
      <c r="Q67" s="45">
        <f>SUM(G67:P67)</f>
        <v>4433619.5029470017</v>
      </c>
    </row>
    <row r="68" spans="5:19" hidden="1" outlineLevel="1" x14ac:dyDescent="0.3">
      <c r="F68" s="1" t="s">
        <v>220</v>
      </c>
      <c r="G68" s="45">
        <f t="shared" ref="G68:P68" si="26">-$G$2*G67</f>
        <v>-5321.9379127240773</v>
      </c>
      <c r="H68" s="45">
        <f t="shared" si="26"/>
        <v>-11944.171820061425</v>
      </c>
      <c r="I68" s="45">
        <f t="shared" si="26"/>
        <v>-25293.366139259921</v>
      </c>
      <c r="J68" s="45">
        <f t="shared" si="26"/>
        <v>-35724.350335090719</v>
      </c>
      <c r="K68" s="45">
        <f t="shared" si="26"/>
        <v>-54724.758881273898</v>
      </c>
      <c r="L68" s="45">
        <f t="shared" si="26"/>
        <v>0</v>
      </c>
      <c r="M68" s="45">
        <f t="shared" si="26"/>
        <v>0</v>
      </c>
      <c r="N68" s="45">
        <f t="shared" si="26"/>
        <v>0</v>
      </c>
      <c r="O68" s="45">
        <f t="shared" si="26"/>
        <v>0</v>
      </c>
      <c r="P68" s="45">
        <f t="shared" si="26"/>
        <v>0</v>
      </c>
      <c r="Q68" s="45">
        <f>SUM(G68:P68)</f>
        <v>-133008.58508841007</v>
      </c>
    </row>
    <row r="69" spans="5:19" hidden="1" outlineLevel="1" x14ac:dyDescent="0.3">
      <c r="E69" s="324" t="s">
        <v>221</v>
      </c>
      <c r="F69" s="325" t="s">
        <v>222</v>
      </c>
      <c r="G69" s="326">
        <v>0.5</v>
      </c>
      <c r="H69" s="326">
        <f>G69*0.9</f>
        <v>0.45</v>
      </c>
      <c r="I69" s="326">
        <f t="shared" ref="I69:P70" si="27">H69*0.9</f>
        <v>0.40500000000000003</v>
      </c>
      <c r="J69" s="326">
        <f t="shared" si="27"/>
        <v>0.36450000000000005</v>
      </c>
      <c r="K69" s="326">
        <f t="shared" si="27"/>
        <v>0.32805000000000006</v>
      </c>
      <c r="L69" s="326">
        <f t="shared" si="27"/>
        <v>0.29524500000000009</v>
      </c>
      <c r="M69" s="326">
        <f t="shared" si="27"/>
        <v>0.26572050000000008</v>
      </c>
      <c r="N69" s="326">
        <f t="shared" si="27"/>
        <v>0.23914845000000007</v>
      </c>
      <c r="O69" s="326">
        <f t="shared" si="27"/>
        <v>0.21523360500000008</v>
      </c>
      <c r="P69" s="326">
        <f t="shared" si="27"/>
        <v>0.19371024450000007</v>
      </c>
    </row>
    <row r="70" spans="5:19" hidden="1" outlineLevel="1" x14ac:dyDescent="0.3">
      <c r="E70" s="324" t="s">
        <v>223</v>
      </c>
      <c r="F70" s="325" t="s">
        <v>222</v>
      </c>
      <c r="G70" s="326">
        <v>0.5</v>
      </c>
      <c r="H70" s="326">
        <f>G70*0.9</f>
        <v>0.45</v>
      </c>
      <c r="I70" s="326">
        <f t="shared" si="27"/>
        <v>0.40500000000000003</v>
      </c>
      <c r="J70" s="326">
        <f t="shared" si="27"/>
        <v>0.36450000000000005</v>
      </c>
      <c r="K70" s="326">
        <f t="shared" si="27"/>
        <v>0.32805000000000006</v>
      </c>
      <c r="L70" s="326">
        <f t="shared" si="27"/>
        <v>0.29524500000000009</v>
      </c>
      <c r="M70" s="326">
        <f t="shared" si="27"/>
        <v>0.26572050000000008</v>
      </c>
      <c r="N70" s="326">
        <f t="shared" si="27"/>
        <v>0.23914845000000007</v>
      </c>
      <c r="O70" s="326">
        <f t="shared" si="27"/>
        <v>0.21523360500000008</v>
      </c>
      <c r="P70" s="326">
        <f t="shared" si="27"/>
        <v>0.19371024450000007</v>
      </c>
    </row>
    <row r="71" spans="5:19" hidden="1" outlineLevel="1" x14ac:dyDescent="0.3">
      <c r="F71" s="1" t="s">
        <v>224</v>
      </c>
      <c r="G71" s="45">
        <f>SUM(Inputs!E21:E24,Inputs!E36:E39)</f>
        <v>127687641.80351938</v>
      </c>
      <c r="H71" s="45">
        <f>SUM(Inputs!F21:F24,Inputs!F36:F39)</f>
        <v>184526644.96383941</v>
      </c>
      <c r="I71" s="45">
        <f>SUM(Inputs!G21:G24,Inputs!G36:G39)</f>
        <v>266757959.80005568</v>
      </c>
      <c r="J71" s="45">
        <f>SUM(Inputs!H21:H24,Inputs!H36:H39)</f>
        <v>376768942.42159873</v>
      </c>
      <c r="K71" s="45">
        <f>SUM(Inputs!I21:I24,Inputs!I36:I39)</f>
        <v>536238435.36209518</v>
      </c>
      <c r="L71" s="45">
        <f>SUM(Inputs!J21:J24,Inputs!J36:J39)</f>
        <v>0</v>
      </c>
      <c r="M71" s="45">
        <f>SUM(Inputs!K21:K24,Inputs!K36:K39)</f>
        <v>0</v>
      </c>
      <c r="N71" s="45">
        <f>SUM(Inputs!L21:L24,Inputs!L36:L39)</f>
        <v>0</v>
      </c>
      <c r="O71" s="45">
        <f>SUM(Inputs!M21:M24,Inputs!M36:M39)</f>
        <v>0</v>
      </c>
      <c r="P71" s="45">
        <f>SUM(Inputs!N21:N24,Inputs!N36:N39)</f>
        <v>0</v>
      </c>
    </row>
    <row r="72" spans="5:19" hidden="1" outlineLevel="1" x14ac:dyDescent="0.3">
      <c r="F72" s="1" t="s">
        <v>225</v>
      </c>
      <c r="G72" s="45">
        <f>SUM(Inputs!E51:E54,Inputs!E66:E68)</f>
        <v>46523100</v>
      </c>
      <c r="H72" s="45">
        <f>SUM(Inputs!F51:F54,Inputs!F66:F68)</f>
        <v>76839320.085816741</v>
      </c>
      <c r="I72" s="45">
        <f>SUM(Inputs!G51:G54,Inputs!G66:G68)</f>
        <v>129199828.20143759</v>
      </c>
      <c r="J72" s="45">
        <f>SUM(Inputs!H51:H54,Inputs!H66:H68)</f>
        <v>182481837.3517105</v>
      </c>
      <c r="K72" s="45">
        <f>SUM(Inputs!I51:I54,Inputs!I66:I68)</f>
        <v>268476403.20370418</v>
      </c>
      <c r="L72" s="45">
        <f>SUM(Inputs!J51:J54,Inputs!J66:J68)</f>
        <v>0</v>
      </c>
      <c r="M72" s="45">
        <f>SUM(Inputs!K51:K54,Inputs!K66:K68)</f>
        <v>0</v>
      </c>
      <c r="N72" s="45">
        <f>SUM(Inputs!L51:L54,Inputs!L66:L68)</f>
        <v>0</v>
      </c>
      <c r="O72" s="45">
        <f>SUM(Inputs!M51:M54,Inputs!M66:M68)</f>
        <v>0</v>
      </c>
      <c r="P72" s="45">
        <f>SUM(Inputs!N51:N54,Inputs!N66:N68)</f>
        <v>0</v>
      </c>
    </row>
    <row r="73" spans="5:19" hidden="1" outlineLevel="1" x14ac:dyDescent="0.3">
      <c r="F73" s="1" t="s">
        <v>226</v>
      </c>
      <c r="G73" s="45">
        <f>(G69*G71/10000)+(G70*G72/10000)</f>
        <v>8710.5370901759688</v>
      </c>
      <c r="H73" s="45">
        <f t="shared" ref="H73:P73" si="28">(H69*H71/10000)+(H70*H72/10000)</f>
        <v>11761.468427234528</v>
      </c>
      <c r="I73" s="45">
        <f t="shared" si="28"/>
        <v>16036.290414060479</v>
      </c>
      <c r="J73" s="45">
        <f t="shared" si="28"/>
        <v>20384.690922737125</v>
      </c>
      <c r="K73" s="45">
        <f t="shared" si="28"/>
        <v>26398.670279151054</v>
      </c>
      <c r="L73" s="45">
        <f t="shared" si="28"/>
        <v>0</v>
      </c>
      <c r="M73" s="45">
        <f t="shared" si="28"/>
        <v>0</v>
      </c>
      <c r="N73" s="45">
        <f t="shared" si="28"/>
        <v>0</v>
      </c>
      <c r="O73" s="45">
        <f t="shared" si="28"/>
        <v>0</v>
      </c>
      <c r="P73" s="45">
        <f t="shared" si="28"/>
        <v>0</v>
      </c>
    </row>
    <row r="74" spans="5:19" hidden="1" outlineLevel="1" x14ac:dyDescent="0.3">
      <c r="E74" s="327"/>
      <c r="F74" s="328" t="s">
        <v>227</v>
      </c>
      <c r="G74" s="329">
        <f>IF(G59&lt;=$C$15,IF(SUM($G$48:G48)&gt;0,1,0),0)</f>
        <v>1</v>
      </c>
      <c r="H74" s="329">
        <f>IF(H59&lt;=$C$15,IF(SUM($G$48:H48)&gt;0,1,0),0)</f>
        <v>1</v>
      </c>
      <c r="I74" s="329">
        <f>IF(I59&lt;=$C$15,IF(SUM($G$48:I48)&gt;0,1,0),0)</f>
        <v>1</v>
      </c>
      <c r="J74" s="329">
        <f>IF(J59&lt;=$C$15,IF(SUM($G$48:J48)&gt;0,1,0),0)</f>
        <v>1</v>
      </c>
      <c r="K74" s="329">
        <f>IF(K59&lt;=$C$15,IF(SUM($G$48:K48)&gt;0,1,0),0)</f>
        <v>1</v>
      </c>
      <c r="L74" s="329">
        <f>IF(L59&lt;=$C$15,IF(SUM($G$48:L48)&gt;0,1,0),0)</f>
        <v>0</v>
      </c>
      <c r="M74" s="329">
        <f>IF(M59&lt;=$C$15,IF(SUM($G$48:M48)&gt;0,1,0),0)</f>
        <v>0</v>
      </c>
      <c r="N74" s="329">
        <f>IF(N59&lt;=$C$15,IF(SUM($G$48:N48)&gt;0,1,0),0)</f>
        <v>0</v>
      </c>
      <c r="O74" s="329">
        <f>IF(O59&lt;=$C$15,IF(SUM($G$48:O48)&gt;0,1,0),0)</f>
        <v>0</v>
      </c>
      <c r="P74" s="329">
        <f>IF(P59&lt;=$C$15,IF(SUM($G$48:P48)&gt;0,1,0),0)</f>
        <v>0</v>
      </c>
      <c r="Q74" s="328">
        <f>IF(SUM(G74:P74)&lt;C15,0,1)</f>
        <v>1</v>
      </c>
      <c r="R74" s="328"/>
      <c r="S74" s="330" t="str">
        <f>IF(Q74=0,"Check - does not break even","OK")</f>
        <v>OK</v>
      </c>
    </row>
    <row r="75" spans="5:19" ht="15" hidden="1" outlineLevel="1" thickBot="1" x14ac:dyDescent="0.35">
      <c r="E75" s="86" t="s">
        <v>228</v>
      </c>
      <c r="G75" s="331">
        <f>IF(SUM($G$48:G48)&gt;0,1,0)</f>
        <v>1</v>
      </c>
      <c r="H75" s="331">
        <f>IF(SUM($G$75:G75)=1,0,IF(SUM($G$48:H48)&gt;0,1,0))</f>
        <v>0</v>
      </c>
      <c r="I75" s="331">
        <f>IF(SUM($G$75:H75)=1,0,IF(SUM($G$48:I48)&gt;0,1,0))</f>
        <v>0</v>
      </c>
      <c r="J75" s="331">
        <f>IF(SUM($G$75:I75)=1,0,IF(SUM($G$48:J48)&gt;0,1,0))</f>
        <v>0</v>
      </c>
      <c r="K75" s="331">
        <f>IF(SUM($G$75:J75)=1,0,IF(SUM($G$48:K48)&gt;0,1,0))</f>
        <v>0</v>
      </c>
      <c r="L75" s="331">
        <f>IF(SUM($G$75:K75)=1,0,IF(SUM($G$48:L48)&gt;0,1,0))</f>
        <v>0</v>
      </c>
      <c r="M75" s="331">
        <f>IF(SUM($G$75:L75)=1,0,IF(SUM($G$48:M48)&gt;0,1,0))</f>
        <v>0</v>
      </c>
      <c r="N75" s="331">
        <f>IF(SUM($G$75:M75)=1,0,IF(SUM($G$48:N48)&gt;0,1,0))</f>
        <v>0</v>
      </c>
      <c r="O75" s="331">
        <f>IF(SUM($G$75:N75)=1,0,IF(SUM($G$48:O48)&gt;0,1,0))</f>
        <v>0</v>
      </c>
      <c r="P75" s="331">
        <f>IF(SUM($G$75:O75)=1,0,IF(SUM($G$48:P48)&gt;0,1,0))</f>
        <v>0</v>
      </c>
      <c r="Q75" s="140">
        <f>IF(SUM(G75:P75)&gt;1,"Error",MATCH(1,G75:P75,0))</f>
        <v>1</v>
      </c>
      <c r="R75" s="332"/>
      <c r="S75" s="90"/>
    </row>
    <row r="76" spans="5:19" collapsed="1" x14ac:dyDescent="0.3">
      <c r="E76" s="333"/>
      <c r="F76" s="334"/>
      <c r="G76" s="334"/>
      <c r="H76" s="334"/>
      <c r="I76" s="334"/>
      <c r="J76" s="334"/>
      <c r="K76" s="334"/>
      <c r="L76" s="334"/>
      <c r="M76" s="334"/>
      <c r="N76" s="335" t="s">
        <v>229</v>
      </c>
      <c r="O76" s="335"/>
      <c r="P76" s="335"/>
      <c r="Q76" s="336"/>
    </row>
    <row r="77" spans="5:19" x14ac:dyDescent="0.3">
      <c r="E77" s="337"/>
      <c r="F77"/>
      <c r="G77"/>
      <c r="H77"/>
      <c r="I77"/>
      <c r="J77"/>
      <c r="K77"/>
      <c r="L77"/>
      <c r="M77"/>
      <c r="N77" s="338" t="s">
        <v>230</v>
      </c>
      <c r="O77" s="338"/>
      <c r="P77" s="338"/>
      <c r="Q77" s="339"/>
    </row>
    <row r="78" spans="5:19" ht="26.1" customHeight="1" x14ac:dyDescent="0.3">
      <c r="E78" s="340"/>
      <c r="F78" s="341"/>
      <c r="G78" s="342" t="s">
        <v>231</v>
      </c>
      <c r="H78" s="342" t="s">
        <v>232</v>
      </c>
      <c r="I78" s="343" t="s">
        <v>233</v>
      </c>
      <c r="J78"/>
      <c r="K78"/>
      <c r="L78"/>
      <c r="M78"/>
      <c r="N78" s="344" t="s">
        <v>234</v>
      </c>
      <c r="O78" s="344" t="s">
        <v>235</v>
      </c>
      <c r="P78" s="345" t="s">
        <v>236</v>
      </c>
      <c r="Q78" s="339"/>
    </row>
    <row r="79" spans="5:19" x14ac:dyDescent="0.3">
      <c r="E79" s="337" t="s">
        <v>237</v>
      </c>
      <c r="F79"/>
      <c r="G79" s="346">
        <f>SUM([1]Calcs!AN145:AW145)</f>
        <v>102056.62612364853</v>
      </c>
      <c r="H79" s="347">
        <f t="shared" ref="H79:H87" si="29">IF(I79=0,G79/SUM($G$79:$G$87),I79)</f>
        <v>2.3018805753586228E-2</v>
      </c>
      <c r="I79" s="348">
        <v>0</v>
      </c>
      <c r="J79"/>
      <c r="K79"/>
      <c r="L79"/>
      <c r="M79"/>
      <c r="N79" s="349">
        <v>0</v>
      </c>
      <c r="O79" s="349">
        <v>99999</v>
      </c>
      <c r="P79" s="350">
        <v>0</v>
      </c>
      <c r="Q79" s="339"/>
    </row>
    <row r="80" spans="5:19" x14ac:dyDescent="0.3">
      <c r="E80" s="337" t="s">
        <v>238</v>
      </c>
      <c r="F80"/>
      <c r="G80" s="346">
        <f>SUM([1]Calcs!AN146:AW146)</f>
        <v>0</v>
      </c>
      <c r="H80" s="347">
        <f t="shared" si="29"/>
        <v>0</v>
      </c>
      <c r="I80" s="348">
        <v>0</v>
      </c>
      <c r="J80"/>
      <c r="K80"/>
      <c r="L80"/>
      <c r="M80"/>
      <c r="N80" s="349">
        <f>O79+1</f>
        <v>100000</v>
      </c>
      <c r="O80" s="349">
        <v>499999</v>
      </c>
      <c r="P80" s="350">
        <v>0.1</v>
      </c>
      <c r="Q80" s="339"/>
    </row>
    <row r="81" spans="3:17" x14ac:dyDescent="0.3">
      <c r="E81" s="337" t="s">
        <v>239</v>
      </c>
      <c r="F81"/>
      <c r="G81" s="346">
        <f>SUM([1]Calcs!AN147:AW148)</f>
        <v>3990765.3022149643</v>
      </c>
      <c r="H81" s="347">
        <f t="shared" si="29"/>
        <v>0.90011452258416091</v>
      </c>
      <c r="I81" s="348">
        <v>0</v>
      </c>
      <c r="J81"/>
      <c r="K81"/>
      <c r="L81"/>
      <c r="M81"/>
      <c r="N81" s="349">
        <f t="shared" ref="N81:N83" si="30">O80+1</f>
        <v>500000</v>
      </c>
      <c r="O81" s="349">
        <v>1499999</v>
      </c>
      <c r="P81" s="350">
        <v>0.2</v>
      </c>
      <c r="Q81" s="339"/>
    </row>
    <row r="82" spans="3:17" x14ac:dyDescent="0.3">
      <c r="E82" s="337" t="s">
        <v>240</v>
      </c>
      <c r="F82"/>
      <c r="G82" s="346">
        <f>SUM([1]Calcs!AN139:AW139)</f>
        <v>0</v>
      </c>
      <c r="H82" s="347">
        <f t="shared" si="29"/>
        <v>0</v>
      </c>
      <c r="I82" s="348">
        <v>0</v>
      </c>
      <c r="J82"/>
      <c r="K82"/>
      <c r="L82"/>
      <c r="M82"/>
      <c r="N82" s="349">
        <f t="shared" si="30"/>
        <v>1500000</v>
      </c>
      <c r="O82" s="349">
        <v>2999999</v>
      </c>
      <c r="P82" s="350">
        <v>0.25</v>
      </c>
      <c r="Q82" s="339"/>
    </row>
    <row r="83" spans="3:17" x14ac:dyDescent="0.3">
      <c r="E83" s="337" t="s">
        <v>241</v>
      </c>
      <c r="F83"/>
      <c r="G83" s="346">
        <f>SUM([1]Calcs!AN140:AW140)</f>
        <v>0</v>
      </c>
      <c r="H83" s="347">
        <f t="shared" si="29"/>
        <v>0</v>
      </c>
      <c r="I83" s="348">
        <v>0</v>
      </c>
      <c r="J83"/>
      <c r="K83"/>
      <c r="L83"/>
      <c r="M83"/>
      <c r="N83" s="349">
        <f t="shared" si="30"/>
        <v>3000000</v>
      </c>
      <c r="O83" s="346" t="s">
        <v>242</v>
      </c>
      <c r="P83" s="350">
        <v>0.3</v>
      </c>
      <c r="Q83" s="339"/>
    </row>
    <row r="84" spans="3:17" x14ac:dyDescent="0.3">
      <c r="E84" s="337" t="s">
        <v>243</v>
      </c>
      <c r="F84"/>
      <c r="G84" s="346">
        <f>SUM([1]Calcs!AN141:AW142)</f>
        <v>0</v>
      </c>
      <c r="H84" s="347">
        <f t="shared" si="29"/>
        <v>0</v>
      </c>
      <c r="I84" s="348">
        <v>0</v>
      </c>
      <c r="J84"/>
      <c r="K84"/>
      <c r="L84"/>
      <c r="M84"/>
      <c r="N84"/>
      <c r="O84"/>
      <c r="P84"/>
      <c r="Q84" s="339"/>
    </row>
    <row r="85" spans="3:17" x14ac:dyDescent="0.3">
      <c r="E85" s="337" t="s">
        <v>244</v>
      </c>
      <c r="F85"/>
      <c r="G85" s="346">
        <f>SUM([1]Calcs!AN133:AW133)</f>
        <v>178560.2818139749</v>
      </c>
      <c r="H85" s="347">
        <f t="shared" si="29"/>
        <v>4.0274155618290411E-2</v>
      </c>
      <c r="I85" s="348">
        <v>0</v>
      </c>
      <c r="J85"/>
      <c r="K85"/>
      <c r="L85"/>
      <c r="M85"/>
      <c r="N85"/>
      <c r="O85"/>
      <c r="P85"/>
      <c r="Q85" s="339"/>
    </row>
    <row r="86" spans="3:17" x14ac:dyDescent="0.3">
      <c r="E86" s="337" t="s">
        <v>245</v>
      </c>
      <c r="F86"/>
      <c r="G86" s="346">
        <f>SUM([1]Calcs!AN134:AW134)</f>
        <v>0</v>
      </c>
      <c r="H86" s="347">
        <f t="shared" si="29"/>
        <v>0</v>
      </c>
      <c r="I86" s="348">
        <v>0</v>
      </c>
      <c r="J86"/>
      <c r="K86"/>
      <c r="L86"/>
      <c r="M86"/>
      <c r="N86" s="338" t="s">
        <v>246</v>
      </c>
      <c r="O86" s="338"/>
      <c r="P86" s="338"/>
      <c r="Q86" s="339"/>
    </row>
    <row r="87" spans="3:17" ht="26.1" customHeight="1" x14ac:dyDescent="0.3">
      <c r="E87" s="337" t="s">
        <v>247</v>
      </c>
      <c r="F87"/>
      <c r="G87" s="346">
        <f>SUM([1]Calcs!AN135:AW136)</f>
        <v>162237.2927944134</v>
      </c>
      <c r="H87" s="347">
        <f t="shared" si="29"/>
        <v>3.6592516043962554E-2</v>
      </c>
      <c r="I87" s="348">
        <v>0</v>
      </c>
      <c r="J87"/>
      <c r="K87"/>
      <c r="L87"/>
      <c r="M87"/>
      <c r="N87" s="351" t="s">
        <v>248</v>
      </c>
      <c r="O87" s="351" t="s">
        <v>249</v>
      </c>
      <c r="P87" s="345" t="s">
        <v>250</v>
      </c>
      <c r="Q87" s="339"/>
    </row>
    <row r="88" spans="3:17" x14ac:dyDescent="0.3">
      <c r="E88" s="337"/>
      <c r="F88"/>
      <c r="G88"/>
      <c r="H88"/>
      <c r="I88"/>
      <c r="J88"/>
      <c r="K88"/>
      <c r="L88" s="349"/>
      <c r="M88"/>
      <c r="N88" s="349">
        <v>0</v>
      </c>
      <c r="O88" s="349">
        <v>500000</v>
      </c>
      <c r="P88" s="352">
        <v>0</v>
      </c>
      <c r="Q88" s="339"/>
    </row>
    <row r="89" spans="3:17" x14ac:dyDescent="0.3">
      <c r="E89" s="337"/>
      <c r="F89"/>
      <c r="G89"/>
      <c r="H89"/>
      <c r="I89"/>
      <c r="J89"/>
      <c r="K89"/>
      <c r="L89"/>
      <c r="M89"/>
      <c r="N89" s="349">
        <f>O88+1</f>
        <v>500001</v>
      </c>
      <c r="O89" s="349">
        <v>1500000</v>
      </c>
      <c r="P89" s="352">
        <v>0.1</v>
      </c>
      <c r="Q89" s="339"/>
    </row>
    <row r="90" spans="3:17" x14ac:dyDescent="0.3">
      <c r="E90" s="337"/>
      <c r="F90"/>
      <c r="G90"/>
      <c r="H90"/>
      <c r="I90"/>
      <c r="J90"/>
      <c r="K90"/>
      <c r="L90" s="353"/>
      <c r="M90"/>
      <c r="N90" s="349">
        <f t="shared" ref="N90:N92" si="31">O89+1</f>
        <v>1500001</v>
      </c>
      <c r="O90" s="349">
        <v>3000000</v>
      </c>
      <c r="P90" s="352">
        <v>0.125</v>
      </c>
      <c r="Q90" s="339"/>
    </row>
    <row r="91" spans="3:17" x14ac:dyDescent="0.3">
      <c r="C91" s="1"/>
      <c r="E91" s="337"/>
      <c r="F91"/>
      <c r="G91"/>
      <c r="H91"/>
      <c r="I91"/>
      <c r="J91"/>
      <c r="K91"/>
      <c r="L91"/>
      <c r="M91"/>
      <c r="N91" s="349">
        <f t="shared" si="31"/>
        <v>3000001</v>
      </c>
      <c r="O91" s="349">
        <v>5000000</v>
      </c>
      <c r="P91" s="352">
        <v>0.15</v>
      </c>
      <c r="Q91" s="339"/>
    </row>
    <row r="92" spans="3:17" x14ac:dyDescent="0.3">
      <c r="C92" s="1"/>
      <c r="E92" s="337"/>
      <c r="F92"/>
      <c r="G92"/>
      <c r="H92"/>
      <c r="I92"/>
      <c r="J92"/>
      <c r="K92"/>
      <c r="L92"/>
      <c r="M92"/>
      <c r="N92" s="349">
        <f t="shared" si="31"/>
        <v>5000001</v>
      </c>
      <c r="O92" s="349">
        <v>50000000</v>
      </c>
      <c r="P92" s="352">
        <v>0.2</v>
      </c>
      <c r="Q92" s="339"/>
    </row>
    <row r="93" spans="3:17" x14ac:dyDescent="0.3">
      <c r="C93" s="1"/>
      <c r="E93" s="337"/>
      <c r="F93"/>
      <c r="G93"/>
      <c r="H93"/>
      <c r="I93"/>
      <c r="J93"/>
      <c r="K93"/>
      <c r="L93"/>
      <c r="M93"/>
      <c r="N93" s="349"/>
      <c r="O93" s="349"/>
      <c r="P93" s="349"/>
      <c r="Q93" s="339"/>
    </row>
    <row r="94" spans="3:17" x14ac:dyDescent="0.3">
      <c r="E94" s="337"/>
      <c r="F94"/>
      <c r="G94"/>
      <c r="H94"/>
      <c r="I94"/>
      <c r="J94"/>
      <c r="K94"/>
      <c r="L94"/>
      <c r="M94"/>
      <c r="N94"/>
      <c r="O94"/>
      <c r="P94"/>
      <c r="Q94" s="339"/>
    </row>
    <row r="95" spans="3:17" x14ac:dyDescent="0.3">
      <c r="E95" s="337"/>
      <c r="F95"/>
      <c r="G95"/>
      <c r="H95"/>
      <c r="I95"/>
      <c r="J95"/>
      <c r="K95"/>
      <c r="L95"/>
      <c r="M95"/>
      <c r="N95"/>
      <c r="O95"/>
      <c r="P95"/>
      <c r="Q95" s="339"/>
    </row>
    <row r="96" spans="3:17" x14ac:dyDescent="0.3">
      <c r="E96" s="337"/>
      <c r="F96"/>
      <c r="G96"/>
      <c r="H96"/>
      <c r="I96"/>
      <c r="J96"/>
      <c r="K96"/>
      <c r="L96"/>
      <c r="M96"/>
      <c r="N96" s="349"/>
      <c r="O96" s="349"/>
      <c r="P96" s="349"/>
      <c r="Q96" s="339"/>
    </row>
    <row r="97" spans="5:17" x14ac:dyDescent="0.3">
      <c r="E97" s="337"/>
      <c r="F97"/>
      <c r="G97"/>
      <c r="H97"/>
      <c r="I97"/>
      <c r="J97"/>
      <c r="K97"/>
      <c r="L97"/>
      <c r="M97"/>
      <c r="N97"/>
      <c r="O97"/>
      <c r="P97"/>
      <c r="Q97" s="339"/>
    </row>
    <row r="98" spans="5:17" ht="18" hidden="1" outlineLevel="1" x14ac:dyDescent="0.35">
      <c r="E98" s="354" t="s">
        <v>251</v>
      </c>
      <c r="F98" s="355"/>
      <c r="G98"/>
      <c r="H98"/>
      <c r="I98"/>
      <c r="J98"/>
      <c r="K98"/>
      <c r="L98"/>
      <c r="M98"/>
      <c r="N98"/>
      <c r="O98"/>
      <c r="P98"/>
      <c r="Q98" s="339"/>
    </row>
    <row r="99" spans="5:17" hidden="1" outlineLevel="1" x14ac:dyDescent="0.3">
      <c r="E99" s="337" t="s">
        <v>252</v>
      </c>
      <c r="F99"/>
      <c r="G99" s="349">
        <f>Inputs!E32+Inputs!E47+Inputs!E31+Inputs!E46</f>
        <v>165585.28541417245</v>
      </c>
      <c r="H99" s="349">
        <f>Inputs!F32+Inputs!F47+Inputs!F31+Inputs!F46</f>
        <v>400158.02733041189</v>
      </c>
      <c r="I99" s="349">
        <f>Inputs!G32+Inputs!G47+Inputs!G31+Inputs!G46</f>
        <v>882021.81923984981</v>
      </c>
      <c r="J99" s="349">
        <f>Inputs!H32+Inputs!H47+Inputs!H31+Inputs!H46</f>
        <v>1245767.617494364</v>
      </c>
      <c r="K99" s="349">
        <f>Inputs!I32+Inputs!I47+Inputs!I31+Inputs!I46</f>
        <v>1919772.4878909006</v>
      </c>
      <c r="L99" s="349">
        <f>Inputs!J32+Inputs!J47+Inputs!J31+Inputs!J46</f>
        <v>0</v>
      </c>
      <c r="M99" s="349">
        <f>Inputs!K32+Inputs!K47+Inputs!K31+Inputs!K46</f>
        <v>0</v>
      </c>
      <c r="N99" s="349">
        <f>Inputs!L32+Inputs!L47+Inputs!L31+Inputs!L46</f>
        <v>0</v>
      </c>
      <c r="O99" s="349">
        <f>Inputs!M32+Inputs!M47+Inputs!M31+Inputs!M46</f>
        <v>0</v>
      </c>
      <c r="P99" s="349">
        <f>Inputs!N32+Inputs!N47+Inputs!N31+Inputs!N46</f>
        <v>0</v>
      </c>
      <c r="Q99" s="339"/>
    </row>
    <row r="100" spans="5:17" hidden="1" outlineLevel="1" x14ac:dyDescent="0.3">
      <c r="E100" s="337" t="s">
        <v>253</v>
      </c>
      <c r="F100"/>
      <c r="G100" s="349">
        <f>Inputs!E24+Inputs!E25+Inputs!E39+Inputs!E40</f>
        <v>26626485.689760331</v>
      </c>
      <c r="H100" s="349">
        <f>Inputs!F24+Inputs!F25+Inputs!F39+Inputs!F40</f>
        <v>63225725.411377721</v>
      </c>
      <c r="I100" s="349">
        <f>Inputs!G24+Inputs!G25+Inputs!G39+Inputs!G40</f>
        <v>138105612.36398798</v>
      </c>
      <c r="J100" s="349">
        <f>Inputs!H24+Inputs!H25+Inputs!H39+Inputs!H40</f>
        <v>195060366.9028967</v>
      </c>
      <c r="K100" s="349">
        <f>Inputs!I24+Inputs!I25+Inputs!I39+Inputs!I40</f>
        <v>300196970.665039</v>
      </c>
      <c r="L100" s="349">
        <f>Inputs!J24+Inputs!J25+Inputs!J39+Inputs!J40</f>
        <v>0</v>
      </c>
      <c r="M100" s="349">
        <f>Inputs!K24+Inputs!K25+Inputs!K39+Inputs!K40</f>
        <v>0</v>
      </c>
      <c r="N100" s="349">
        <f>Inputs!L24+Inputs!L25+Inputs!L39+Inputs!L40</f>
        <v>0</v>
      </c>
      <c r="O100" s="349">
        <f>Inputs!M24+Inputs!M25+Inputs!M39+Inputs!M40</f>
        <v>0</v>
      </c>
      <c r="P100" s="349">
        <f>Inputs!N24+Inputs!N25+Inputs!N39+Inputs!N40</f>
        <v>0</v>
      </c>
      <c r="Q100" s="339"/>
    </row>
    <row r="101" spans="5:17" hidden="1" outlineLevel="1" x14ac:dyDescent="0.3">
      <c r="E101" s="337" t="s">
        <v>254</v>
      </c>
      <c r="F101"/>
      <c r="G101" s="347">
        <f>VLOOKUP(G99,$N$79:$P$84,3,1)</f>
        <v>0.1</v>
      </c>
      <c r="H101" s="347">
        <f t="shared" ref="H101:P101" si="32">VLOOKUP(H99,$N$79:$P$84,3,1)</f>
        <v>0.1</v>
      </c>
      <c r="I101" s="347">
        <f t="shared" si="32"/>
        <v>0.2</v>
      </c>
      <c r="J101" s="347">
        <f t="shared" si="32"/>
        <v>0.2</v>
      </c>
      <c r="K101" s="347">
        <f t="shared" si="32"/>
        <v>0.25</v>
      </c>
      <c r="L101" s="347">
        <f t="shared" si="32"/>
        <v>0</v>
      </c>
      <c r="M101" s="347">
        <f t="shared" si="32"/>
        <v>0</v>
      </c>
      <c r="N101" s="347">
        <f t="shared" si="32"/>
        <v>0</v>
      </c>
      <c r="O101" s="347">
        <f t="shared" si="32"/>
        <v>0</v>
      </c>
      <c r="P101" s="347">
        <f t="shared" si="32"/>
        <v>0</v>
      </c>
      <c r="Q101" s="339"/>
    </row>
    <row r="102" spans="5:17" hidden="1" outlineLevel="1" x14ac:dyDescent="0.3">
      <c r="E102" s="337" t="s">
        <v>255</v>
      </c>
      <c r="F102"/>
      <c r="G102" s="353">
        <f>-G101*SUM([1]Calcs!AN141:AN142,[1]Calcs!AN147:AN148)</f>
        <v>-14602.01099975762</v>
      </c>
      <c r="H102" s="353">
        <f>-H101*SUM([1]Calcs!AO141:AO142,[1]Calcs!AO147:AO148)</f>
        <v>-34821.432608000709</v>
      </c>
      <c r="I102" s="353">
        <f>-I101*SUM([1]Calcs!AP141:AP142,[1]Calcs!AP147:AP148)</f>
        <v>-152461.01993371136</v>
      </c>
      <c r="J102" s="353">
        <f>-J101*SUM([1]Calcs!AQ141:AQ142,[1]Calcs!AQ147:AQ148)</f>
        <v>-215335.944554374</v>
      </c>
      <c r="K102" s="353">
        <f>-K101*SUM([1]Calcs!AR141:AR142,[1]Calcs!AR147:AR148)</f>
        <v>-414386.51092423865</v>
      </c>
      <c r="L102" s="353">
        <f>-L101*SUM([1]Calcs!AS141:AS142,[1]Calcs!AS147:AS148)</f>
        <v>0</v>
      </c>
      <c r="M102" s="353">
        <f>-M101*SUM([1]Calcs!AT141:AT142,[1]Calcs!AT147:AT148)</f>
        <v>0</v>
      </c>
      <c r="N102" s="353">
        <f>-N101*SUM([1]Calcs!AU141:AU142,[1]Calcs!AU147:AU148)</f>
        <v>0</v>
      </c>
      <c r="O102" s="353">
        <f>-O101*SUM([1]Calcs!AV141:AV142,[1]Calcs!AV147:AV148)</f>
        <v>0</v>
      </c>
      <c r="P102" s="353">
        <f>-P101*SUM([1]Calcs!AW141:AW142,[1]Calcs!AW147:AW148)</f>
        <v>0</v>
      </c>
      <c r="Q102" s="339"/>
    </row>
    <row r="103" spans="5:17" hidden="1" outlineLevel="1" x14ac:dyDescent="0.3">
      <c r="E103" s="337"/>
      <c r="F103"/>
      <c r="G103"/>
      <c r="H103"/>
      <c r="I103"/>
      <c r="J103"/>
      <c r="K103"/>
      <c r="L103"/>
      <c r="M103"/>
      <c r="N103"/>
      <c r="O103"/>
      <c r="P103"/>
      <c r="Q103" s="339"/>
    </row>
    <row r="104" spans="5:17" hidden="1" outlineLevel="1" x14ac:dyDescent="0.3">
      <c r="E104" s="337" t="s">
        <v>256</v>
      </c>
      <c r="F104"/>
      <c r="G104" s="349">
        <f>SUM(Inputs!E28:E30,Inputs!E43:E45)</f>
        <v>589414.71458582755</v>
      </c>
      <c r="H104" s="349">
        <f>SUM(Inputs!F28:F30,Inputs!F43:F45)</f>
        <v>846828.66669452738</v>
      </c>
      <c r="I104" s="349">
        <f>SUM(Inputs!G28:G30,Inputs!G43:G45)</f>
        <v>1214697.236284941</v>
      </c>
      <c r="J104" s="349">
        <f>SUM(Inputs!H28:H30,Inputs!H43:H45)</f>
        <v>1715638.3765288512</v>
      </c>
      <c r="K104" s="349">
        <f>SUM(Inputs!I28:I30,Inputs!I43:I45)</f>
        <v>2437196.0808157548</v>
      </c>
      <c r="L104" s="349">
        <f>SUM(Inputs!J28:J30,Inputs!J43:J45)</f>
        <v>0</v>
      </c>
      <c r="M104" s="349">
        <f>SUM(Inputs!K28:K30,Inputs!K43:K45)</f>
        <v>0</v>
      </c>
      <c r="N104" s="349">
        <f>SUM(Inputs!L28:L30,Inputs!L43:L45)</f>
        <v>0</v>
      </c>
      <c r="O104" s="349">
        <f>SUM(Inputs!M28:M30,Inputs!M43:M45)</f>
        <v>0</v>
      </c>
      <c r="P104" s="349">
        <f>SUM(Inputs!N28:N30,Inputs!N43:N45)</f>
        <v>0</v>
      </c>
      <c r="Q104" s="339"/>
    </row>
    <row r="105" spans="5:17" hidden="1" outlineLevel="1" x14ac:dyDescent="0.3">
      <c r="E105" s="337" t="s">
        <v>257</v>
      </c>
      <c r="F105"/>
      <c r="G105" s="356">
        <f t="shared" ref="G105:P105" si="33">VLOOKUP(G104,$N$88:$P$92,3,1)</f>
        <v>0.1</v>
      </c>
      <c r="H105" s="356">
        <f t="shared" si="33"/>
        <v>0.1</v>
      </c>
      <c r="I105" s="356">
        <f t="shared" si="33"/>
        <v>0.1</v>
      </c>
      <c r="J105" s="356">
        <f t="shared" si="33"/>
        <v>0.125</v>
      </c>
      <c r="K105" s="356">
        <f t="shared" si="33"/>
        <v>0.125</v>
      </c>
      <c r="L105" s="356">
        <f t="shared" si="33"/>
        <v>0</v>
      </c>
      <c r="M105" s="356">
        <f t="shared" si="33"/>
        <v>0</v>
      </c>
      <c r="N105" s="356">
        <f t="shared" si="33"/>
        <v>0</v>
      </c>
      <c r="O105" s="356">
        <f t="shared" si="33"/>
        <v>0</v>
      </c>
      <c r="P105" s="356">
        <f t="shared" si="33"/>
        <v>0</v>
      </c>
      <c r="Q105" s="339"/>
    </row>
    <row r="106" spans="5:17" hidden="1" outlineLevel="1" x14ac:dyDescent="0.3">
      <c r="E106" s="337" t="s">
        <v>258</v>
      </c>
      <c r="F106"/>
      <c r="G106" s="353">
        <f>-G105*SUM([1]Calcs!AN139:AN140,[1]Calcs!AN145:AN146)</f>
        <v>-884.12207187874139</v>
      </c>
      <c r="H106" s="353">
        <f>-H105*SUM([1]Calcs!AO139:AO140,[1]Calcs!AO145:AO146)</f>
        <v>-1270.243000041791</v>
      </c>
      <c r="I106" s="353">
        <f>-I105*SUM([1]Calcs!AP139:AP140,[1]Calcs!AP145:AP146)</f>
        <v>-1822.0458544274115</v>
      </c>
      <c r="J106" s="353">
        <f>-J105*SUM([1]Calcs!AQ139:AQ140,[1]Calcs!AQ145:AQ146)</f>
        <v>-3216.821955991596</v>
      </c>
      <c r="K106" s="353">
        <f>-K105*SUM([1]Calcs!AR139:AR140,[1]Calcs!AR145:AR146)</f>
        <v>-4569.7426515295401</v>
      </c>
      <c r="L106" s="353">
        <f>-L105*SUM([1]Calcs!AS139:AS140,[1]Calcs!AS145:AS146)</f>
        <v>0</v>
      </c>
      <c r="M106" s="353">
        <f>-M105*SUM([1]Calcs!AT139:AT140,[1]Calcs!AT145:AT146)</f>
        <v>0</v>
      </c>
      <c r="N106" s="353">
        <f>-N105*SUM([1]Calcs!AU139:AU140,[1]Calcs!AU145:AU146)</f>
        <v>0</v>
      </c>
      <c r="O106" s="353">
        <f>-O105*SUM([1]Calcs!AV139:AV140,[1]Calcs!AV145:AV146)</f>
        <v>0</v>
      </c>
      <c r="P106" s="353">
        <f>-P105*SUM([1]Calcs!AW139:AW140,[1]Calcs!AW145:AW146)</f>
        <v>0</v>
      </c>
      <c r="Q106" s="339"/>
    </row>
    <row r="107" spans="5:17" hidden="1" outlineLevel="1" x14ac:dyDescent="0.3">
      <c r="E107" s="337"/>
      <c r="F107"/>
      <c r="G107"/>
      <c r="H107"/>
      <c r="I107"/>
      <c r="J107"/>
      <c r="K107"/>
      <c r="L107"/>
      <c r="M107"/>
      <c r="N107"/>
      <c r="O107"/>
      <c r="P107"/>
      <c r="Q107" s="339"/>
    </row>
    <row r="108" spans="5:17" hidden="1" outlineLevel="1" x14ac:dyDescent="0.3">
      <c r="E108" s="337"/>
      <c r="F108"/>
      <c r="G108" s="349"/>
      <c r="H108" s="349"/>
      <c r="I108" s="349"/>
      <c r="J108" s="349"/>
      <c r="K108" s="349"/>
      <c r="L108" s="349"/>
      <c r="M108" s="349"/>
      <c r="N108" s="349"/>
      <c r="O108" s="349"/>
      <c r="P108" s="349"/>
      <c r="Q108" s="339"/>
    </row>
    <row r="109" spans="5:17" hidden="1" outlineLevel="1" x14ac:dyDescent="0.3">
      <c r="E109" s="337" t="s">
        <v>259</v>
      </c>
      <c r="F109"/>
      <c r="G109"/>
      <c r="H109"/>
      <c r="I109"/>
      <c r="J109"/>
      <c r="K109"/>
      <c r="L109"/>
      <c r="M109"/>
      <c r="N109"/>
      <c r="O109"/>
      <c r="P109"/>
      <c r="Q109" s="339"/>
    </row>
    <row r="110" spans="5:17" hidden="1" outlineLevel="1" x14ac:dyDescent="0.3">
      <c r="E110" s="337" t="s">
        <v>260</v>
      </c>
      <c r="F110"/>
      <c r="G110" s="349">
        <f>-SUM([1]Calcs!AN143,[1]Calcs!AN149)*'P&amp;L'!$G$2</f>
        <v>-4645.8399214909086</v>
      </c>
      <c r="H110" s="349">
        <f>-SUM([1]Calcs!AO143,[1]Calcs!AO149)*'P&amp;L'!$G$2</f>
        <v>-10827.502682412749</v>
      </c>
      <c r="I110" s="349">
        <f>-SUM([1]Calcs!AP143,[1]Calcs!AP149)*'P&amp;L'!$G$2</f>
        <v>-23415.766746384928</v>
      </c>
      <c r="J110" s="349">
        <f>-SUM([1]Calcs!AQ143,[1]Calcs!AQ149)*'P&amp;L'!$G$2</f>
        <v>-33072.428952594077</v>
      </c>
      <c r="K110" s="349">
        <f>-SUM([1]Calcs!AR143,[1]Calcs!AR149)*'P&amp;L'!$G$2</f>
        <v>-50823.119547275724</v>
      </c>
      <c r="L110" s="349">
        <f>-SUM([1]Calcs!AS143,[1]Calcs!AS149)*'P&amp;L'!$G$2</f>
        <v>0</v>
      </c>
      <c r="M110" s="349">
        <f>-SUM([1]Calcs!AT143,[1]Calcs!AT149)*'P&amp;L'!$G$2</f>
        <v>0</v>
      </c>
      <c r="N110" s="349">
        <f>-SUM([1]Calcs!AU143,[1]Calcs!AU149)*'P&amp;L'!$G$2</f>
        <v>0</v>
      </c>
      <c r="O110" s="349">
        <f>-SUM([1]Calcs!AV143,[1]Calcs!AV149)*'P&amp;L'!$G$2</f>
        <v>0</v>
      </c>
      <c r="P110" s="349">
        <f>-SUM([1]Calcs!AW143,[1]Calcs!AW149)*'P&amp;L'!$G$2</f>
        <v>0</v>
      </c>
      <c r="Q110" s="339"/>
    </row>
    <row r="111" spans="5:17" hidden="1" outlineLevel="1" x14ac:dyDescent="0.3">
      <c r="E111" s="337" t="s">
        <v>139</v>
      </c>
      <c r="F111"/>
      <c r="G111" s="353">
        <f>G102</f>
        <v>-14602.01099975762</v>
      </c>
      <c r="H111" s="353">
        <f t="shared" ref="H111:P111" si="34">H102</f>
        <v>-34821.432608000709</v>
      </c>
      <c r="I111" s="353">
        <f t="shared" si="34"/>
        <v>-152461.01993371136</v>
      </c>
      <c r="J111" s="353">
        <f t="shared" si="34"/>
        <v>-215335.944554374</v>
      </c>
      <c r="K111" s="353">
        <f t="shared" si="34"/>
        <v>-414386.51092423865</v>
      </c>
      <c r="L111" s="353">
        <f t="shared" si="34"/>
        <v>0</v>
      </c>
      <c r="M111" s="353">
        <f t="shared" si="34"/>
        <v>0</v>
      </c>
      <c r="N111" s="353">
        <f t="shared" si="34"/>
        <v>0</v>
      </c>
      <c r="O111" s="353">
        <f t="shared" si="34"/>
        <v>0</v>
      </c>
      <c r="P111" s="353">
        <f t="shared" si="34"/>
        <v>0</v>
      </c>
      <c r="Q111" s="339"/>
    </row>
    <row r="112" spans="5:17" hidden="1" outlineLevel="1" x14ac:dyDescent="0.3">
      <c r="E112" s="337" t="s">
        <v>261</v>
      </c>
      <c r="F112"/>
      <c r="G112" s="349">
        <f>G106+G102</f>
        <v>-15486.133071636361</v>
      </c>
      <c r="H112" s="349">
        <f t="shared" ref="H112:P112" si="35">H106+H102</f>
        <v>-36091.675608042497</v>
      </c>
      <c r="I112" s="349">
        <f t="shared" si="35"/>
        <v>-154283.06578813877</v>
      </c>
      <c r="J112" s="349">
        <f t="shared" si="35"/>
        <v>-218552.76651036559</v>
      </c>
      <c r="K112" s="349">
        <f t="shared" si="35"/>
        <v>-418956.25357576821</v>
      </c>
      <c r="L112" s="349">
        <f t="shared" si="35"/>
        <v>0</v>
      </c>
      <c r="M112" s="349">
        <f t="shared" si="35"/>
        <v>0</v>
      </c>
      <c r="N112" s="349">
        <f t="shared" si="35"/>
        <v>0</v>
      </c>
      <c r="O112" s="349">
        <f t="shared" si="35"/>
        <v>0</v>
      </c>
      <c r="P112" s="349">
        <f t="shared" si="35"/>
        <v>0</v>
      </c>
      <c r="Q112" s="339"/>
    </row>
    <row r="113" spans="5:17" hidden="1" outlineLevel="1" x14ac:dyDescent="0.3">
      <c r="E113" s="337"/>
      <c r="F113"/>
      <c r="G113"/>
      <c r="H113"/>
      <c r="I113"/>
      <c r="J113"/>
      <c r="K113"/>
      <c r="L113"/>
      <c r="M113"/>
      <c r="N113"/>
      <c r="O113"/>
      <c r="P113"/>
      <c r="Q113" s="339"/>
    </row>
    <row r="114" spans="5:17" hidden="1" outlineLevel="1" x14ac:dyDescent="0.3">
      <c r="E114" s="337"/>
      <c r="F114"/>
      <c r="G114"/>
      <c r="H114"/>
      <c r="I114"/>
      <c r="J114"/>
      <c r="K114"/>
      <c r="L114"/>
      <c r="M114"/>
      <c r="N114"/>
      <c r="O114"/>
      <c r="P114"/>
      <c r="Q114" s="339"/>
    </row>
    <row r="115" spans="5:17" hidden="1" outlineLevel="1" x14ac:dyDescent="0.3">
      <c r="E115" s="337"/>
      <c r="F115"/>
      <c r="G115"/>
      <c r="H115"/>
      <c r="I115"/>
      <c r="J115"/>
      <c r="K115"/>
      <c r="L115"/>
      <c r="M115"/>
      <c r="N115"/>
      <c r="O115"/>
      <c r="P115"/>
      <c r="Q115" s="339"/>
    </row>
    <row r="116" spans="5:17" hidden="1" outlineLevel="1" x14ac:dyDescent="0.3">
      <c r="E116" s="337"/>
      <c r="F116"/>
      <c r="G116">
        <v>3</v>
      </c>
      <c r="H116">
        <v>4</v>
      </c>
      <c r="I116">
        <v>5</v>
      </c>
      <c r="J116">
        <v>6</v>
      </c>
      <c r="K116">
        <v>7</v>
      </c>
      <c r="L116">
        <v>8</v>
      </c>
      <c r="M116">
        <v>9</v>
      </c>
      <c r="N116">
        <v>10</v>
      </c>
      <c r="O116">
        <v>11</v>
      </c>
      <c r="P116">
        <v>12</v>
      </c>
      <c r="Q116" s="339"/>
    </row>
    <row r="117" spans="5:17" hidden="1" outlineLevel="1" x14ac:dyDescent="0.3">
      <c r="E117" s="357" t="s">
        <v>262</v>
      </c>
      <c r="F117" s="358"/>
      <c r="G117" s="359">
        <f t="shared" ref="G117:P117" si="36">VLOOKUP($F$2,$E$110:$P$112,G116,0)</f>
        <v>-14602.01099975762</v>
      </c>
      <c r="H117" s="359">
        <f t="shared" si="36"/>
        <v>-34821.432608000709</v>
      </c>
      <c r="I117" s="359">
        <f t="shared" si="36"/>
        <v>-152461.01993371136</v>
      </c>
      <c r="J117" s="359">
        <f t="shared" si="36"/>
        <v>-215335.944554374</v>
      </c>
      <c r="K117" s="359">
        <f t="shared" si="36"/>
        <v>-414386.51092423865</v>
      </c>
      <c r="L117" s="359">
        <f t="shared" si="36"/>
        <v>0</v>
      </c>
      <c r="M117" s="359">
        <f t="shared" si="36"/>
        <v>0</v>
      </c>
      <c r="N117" s="359">
        <f t="shared" si="36"/>
        <v>0</v>
      </c>
      <c r="O117" s="359">
        <f t="shared" si="36"/>
        <v>0</v>
      </c>
      <c r="P117" s="359">
        <f t="shared" si="36"/>
        <v>0</v>
      </c>
      <c r="Q117" s="339"/>
    </row>
    <row r="118" spans="5:17" hidden="1" outlineLevel="1" x14ac:dyDescent="0.3">
      <c r="E118" s="337" t="s">
        <v>263</v>
      </c>
      <c r="F118"/>
      <c r="G118" s="349">
        <f>G117-G119</f>
        <v>0</v>
      </c>
      <c r="H118" s="349">
        <f t="shared" ref="H118:P118" si="37">H117-H119</f>
        <v>0</v>
      </c>
      <c r="I118" s="349">
        <f t="shared" si="37"/>
        <v>0</v>
      </c>
      <c r="J118" s="349">
        <f t="shared" si="37"/>
        <v>0</v>
      </c>
      <c r="K118" s="349">
        <f t="shared" si="37"/>
        <v>0</v>
      </c>
      <c r="L118" s="349">
        <f t="shared" si="37"/>
        <v>0</v>
      </c>
      <c r="M118" s="349">
        <f t="shared" si="37"/>
        <v>0</v>
      </c>
      <c r="N118" s="349">
        <f t="shared" si="37"/>
        <v>0</v>
      </c>
      <c r="O118" s="349">
        <f t="shared" si="37"/>
        <v>0</v>
      </c>
      <c r="P118" s="349">
        <f t="shared" si="37"/>
        <v>0</v>
      </c>
      <c r="Q118" s="339"/>
    </row>
    <row r="119" spans="5:17" hidden="1" outlineLevel="1" x14ac:dyDescent="0.3">
      <c r="E119" s="337" t="s">
        <v>264</v>
      </c>
      <c r="F119"/>
      <c r="G119" s="349">
        <f>IF($F$2=$E$110,-SUM([1]Calcs!AN141:AN142,[1]Calcs!AN147:AN148)*$G$2,IF($F$2=$E$111,G102,G102))</f>
        <v>-14602.01099975762</v>
      </c>
      <c r="H119" s="349">
        <f>IF($F$2=$E$110,-SUM([1]Calcs!AO141:AO142,[1]Calcs!AO147:AO148)*$G$2,IF($F$2=$E$111,H102,H102))</f>
        <v>-34821.432608000709</v>
      </c>
      <c r="I119" s="349">
        <f>IF($F$2=$E$110,-SUM([1]Calcs!AP141:AP142,[1]Calcs!AP147:AP148)*$G$2,IF($F$2=$E$111,I102,I102))</f>
        <v>-152461.01993371136</v>
      </c>
      <c r="J119" s="349">
        <f>IF($F$2=$E$110,-SUM([1]Calcs!AQ141:AQ142,[1]Calcs!AQ147:AQ148)*$G$2,IF($F$2=$E$111,J102,J102))</f>
        <v>-215335.944554374</v>
      </c>
      <c r="K119" s="349">
        <f>IF($F$2=$E$110,-SUM([1]Calcs!AR141:AR142,[1]Calcs!AR147:AR148)*$G$2,IF($F$2=$E$111,K102,K102))</f>
        <v>-414386.51092423865</v>
      </c>
      <c r="L119" s="349">
        <f>IF($F$2=$E$110,-SUM([1]Calcs!AS141:AS142,[1]Calcs!AS147:AS148)*$G$2,IF($F$2=$E$111,L102,L102))</f>
        <v>0</v>
      </c>
      <c r="M119" s="349">
        <f>IF($F$2=$E$110,-SUM([1]Calcs!AT141:AT142,[1]Calcs!AT147:AT148)*$G$2,IF($F$2=$E$111,M102,M102))</f>
        <v>0</v>
      </c>
      <c r="N119" s="349">
        <f>IF($F$2=$E$110,-SUM([1]Calcs!AU141:AU142,[1]Calcs!AU147:AU148)*$G$2,IF($F$2=$E$111,N102,N102))</f>
        <v>0</v>
      </c>
      <c r="O119" s="349">
        <f>IF($F$2=$E$110,-SUM([1]Calcs!AV141:AV142,[1]Calcs!AV147:AV148)*$G$2,IF($F$2=$E$111,O102,O102))</f>
        <v>0</v>
      </c>
      <c r="P119" s="349">
        <f>IF($F$2=$E$110,-SUM([1]Calcs!AW141:AW142,[1]Calcs!AW147:AW148)*$G$2,IF($F$2=$E$111,P102,P102))</f>
        <v>0</v>
      </c>
      <c r="Q119" s="339"/>
    </row>
    <row r="120" spans="5:17" hidden="1" outlineLevel="1" x14ac:dyDescent="0.3">
      <c r="E120" s="337"/>
      <c r="F120"/>
      <c r="G120"/>
      <c r="H120"/>
      <c r="I120"/>
      <c r="J120"/>
      <c r="K120"/>
      <c r="L120"/>
      <c r="M120"/>
      <c r="N120"/>
      <c r="O120"/>
      <c r="P120"/>
      <c r="Q120" s="339"/>
    </row>
    <row r="121" spans="5:17" hidden="1" outlineLevel="1" x14ac:dyDescent="0.3">
      <c r="E121" s="360" t="s">
        <v>265</v>
      </c>
      <c r="Q121" s="361"/>
    </row>
    <row r="122" spans="5:17" hidden="1" outlineLevel="1" x14ac:dyDescent="0.3">
      <c r="E122" s="362" t="s">
        <v>266</v>
      </c>
      <c r="G122" s="331">
        <f>IF($F$2=$E$110,SUM([1]Calcs!AN139,[1]Calcs!AN145)*$G$2,IF($F$2=$E$112,SUM([1]Calcs!AN139,[1]Calcs!AN145)*G105,0))</f>
        <v>0</v>
      </c>
      <c r="H122" s="1">
        <f>IF($F$2=$E$110,SUM([1]Calcs!AO139,[1]Calcs!AO145)*$G$2,IF($F$2=$E$112,SUM([1]Calcs!AO139,[1]Calcs!AO145)*H105,0))</f>
        <v>0</v>
      </c>
      <c r="I122" s="1">
        <f>IF($F$2=$E$110,SUM([1]Calcs!AP139,[1]Calcs!AP145)*$G$2,IF($F$2=$E$112,SUM([1]Calcs!AP139,[1]Calcs!AP145)*I105,0))</f>
        <v>0</v>
      </c>
      <c r="J122" s="1">
        <f>IF($F$2=$E$110,SUM([1]Calcs!AQ139,[1]Calcs!AQ145)*$G$2,IF($F$2=$E$112,SUM([1]Calcs!AQ139,[1]Calcs!AQ145)*J105,0))</f>
        <v>0</v>
      </c>
      <c r="K122" s="1">
        <f>IF($F$2=$E$110,SUM([1]Calcs!AR139,[1]Calcs!AR145)*$G$2,IF($F$2=$E$112,SUM([1]Calcs!AR139,[1]Calcs!AR145)*K105,0))</f>
        <v>0</v>
      </c>
      <c r="L122" s="1">
        <f>IF($F$2=$E$110,SUM([1]Calcs!AS139,[1]Calcs!AS145)*$G$2,IF($F$2=$E$112,SUM([1]Calcs!AS139,[1]Calcs!AS145)*L105,0))</f>
        <v>0</v>
      </c>
      <c r="M122" s="1">
        <f>IF($F$2=$E$110,SUM([1]Calcs!AT139,[1]Calcs!AT145)*$G$2,IF($F$2=$E$112,SUM([1]Calcs!AT139,[1]Calcs!AT145)*M105,0))</f>
        <v>0</v>
      </c>
      <c r="N122" s="1">
        <f>IF($F$2=$E$110,SUM([1]Calcs!AU139,[1]Calcs!AU145)*$G$2,IF($F$2=$E$112,SUM([1]Calcs!AU139,[1]Calcs!AU145)*N105,0))</f>
        <v>0</v>
      </c>
      <c r="O122" s="1">
        <f>IF($F$2=$E$110,SUM([1]Calcs!AV139,[1]Calcs!AV145)*$G$2,IF($F$2=$E$112,SUM([1]Calcs!AV139,[1]Calcs!AV145)*O105,0))</f>
        <v>0</v>
      </c>
      <c r="P122" s="1">
        <f>IF($F$2=$E$110,SUM([1]Calcs!AW139,[1]Calcs!AW145)*$G$2,IF($F$2=$E$112,SUM([1]Calcs!AW139,[1]Calcs!AW145)*P105,0))</f>
        <v>0</v>
      </c>
      <c r="Q122" s="361"/>
    </row>
    <row r="123" spans="5:17" hidden="1" outlineLevel="1" x14ac:dyDescent="0.3">
      <c r="E123" s="362" t="s">
        <v>267</v>
      </c>
      <c r="G123" s="331">
        <f>IF($F$2=$E$110,SUM([1]Calcs!AN140,[1]Calcs!AN146)*$G$2,IF($F$2=$E$112,SUM([1]Calcs!AN140,[1]Calcs!AN146)*G105,0))</f>
        <v>0</v>
      </c>
      <c r="H123" s="1">
        <f>IF($F$2=$E$110,SUM([1]Calcs!AO140,[1]Calcs!AO146)*$G$2,IF($F$2=$E$112,SUM([1]Calcs!AO140,[1]Calcs!AO146)*H105,0))</f>
        <v>0</v>
      </c>
      <c r="I123" s="1">
        <f>IF($F$2=$E$110,SUM([1]Calcs!AP140,[1]Calcs!AP146)*$G$2,IF($F$2=$E$112,SUM([1]Calcs!AP140,[1]Calcs!AP146)*I105,0))</f>
        <v>0</v>
      </c>
      <c r="J123" s="1">
        <f>IF($F$2=$E$110,SUM([1]Calcs!AQ140,[1]Calcs!AQ146)*$G$2,IF($F$2=$E$112,SUM([1]Calcs!AQ140,[1]Calcs!AQ146)*J105,0))</f>
        <v>0</v>
      </c>
      <c r="K123" s="1">
        <f>IF($F$2=$E$110,SUM([1]Calcs!AR140,[1]Calcs!AR146)*$G$2,IF($F$2=$E$112,SUM([1]Calcs!AR140,[1]Calcs!AR146)*K105,0))</f>
        <v>0</v>
      </c>
      <c r="L123" s="1">
        <f>IF($F$2=$E$110,SUM([1]Calcs!AS140,[1]Calcs!AS146)*$G$2,IF($F$2=$E$112,SUM([1]Calcs!AS140,[1]Calcs!AS146)*L105,0))</f>
        <v>0</v>
      </c>
      <c r="M123" s="1">
        <f>IF($F$2=$E$110,SUM([1]Calcs!AT140,[1]Calcs!AT146)*$G$2,IF($F$2=$E$112,SUM([1]Calcs!AT140,[1]Calcs!AT146)*M105,0))</f>
        <v>0</v>
      </c>
      <c r="N123" s="1">
        <f>IF($F$2=$E$110,SUM([1]Calcs!AU140,[1]Calcs!AU146)*$G$2,IF($F$2=$E$112,SUM([1]Calcs!AU140,[1]Calcs!AU146)*N105,0))</f>
        <v>0</v>
      </c>
      <c r="O123" s="1">
        <f>IF($F$2=$E$110,SUM([1]Calcs!AV140,[1]Calcs!AV146)*$G$2,IF($F$2=$E$112,SUM([1]Calcs!AV140,[1]Calcs!AV146)*O105,0))</f>
        <v>0</v>
      </c>
      <c r="P123" s="1">
        <f>IF($F$2=$E$110,SUM([1]Calcs!AW140,[1]Calcs!AW146)*$G$2,IF($F$2=$E$112,SUM([1]Calcs!AW140,[1]Calcs!AW146)*P105,0))</f>
        <v>0</v>
      </c>
      <c r="Q123" s="361"/>
    </row>
    <row r="124" spans="5:17" hidden="1" outlineLevel="1" x14ac:dyDescent="0.3">
      <c r="E124" s="362" t="s">
        <v>268</v>
      </c>
      <c r="G124" s="331">
        <f>IF($F$2=$E$110,SUM([1]Calcs!AN141,[1]Calcs!AN147)*$G$2,SUM([1]Calcs!AN141,[1]Calcs!AN147)*G101)</f>
        <v>2625.9295330818409</v>
      </c>
      <c r="H124" s="331">
        <f>IF($F$2=$E$110,SUM([1]Calcs!AO141,[1]Calcs!AO147)*$G$2,SUM([1]Calcs!AO141,[1]Calcs!AO147)*H101)</f>
        <v>4327.0066846122581</v>
      </c>
      <c r="I124" s="331">
        <f>IF($F$2=$E$110,SUM([1]Calcs!AP141,[1]Calcs!AP147)*$G$2,SUM([1]Calcs!AP141,[1]Calcs!AP147)*I101)</f>
        <v>14551.105336538938</v>
      </c>
      <c r="J124" s="331">
        <f>IF($F$2=$E$110,SUM([1]Calcs!AQ141,[1]Calcs!AQ147)*$G$2,SUM([1]Calcs!AQ141,[1]Calcs!AQ147)*J101)</f>
        <v>20551.981177327601</v>
      </c>
      <c r="K124" s="331">
        <f>IF($F$2=$E$110,SUM([1]Calcs!AR141,[1]Calcs!AR147)*$G$2,SUM([1]Calcs!AR141,[1]Calcs!AR147)*K101)</f>
        <v>37796.377883929039</v>
      </c>
      <c r="L124" s="331">
        <f>IF($F$2=$E$110,SUM([1]Calcs!AS141,[1]Calcs!AS147)*$G$2,SUM([1]Calcs!AS141,[1]Calcs!AS147)*L101)</f>
        <v>0</v>
      </c>
      <c r="M124" s="331">
        <f>IF($F$2=$E$110,SUM([1]Calcs!AT141,[1]Calcs!AT147)*$G$2,SUM([1]Calcs!AT141,[1]Calcs!AT147)*M101)</f>
        <v>0</v>
      </c>
      <c r="N124" s="331">
        <f>IF($F$2=$E$110,SUM([1]Calcs!AU141,[1]Calcs!AU147)*$G$2,SUM([1]Calcs!AU141,[1]Calcs!AU147)*N101)</f>
        <v>0</v>
      </c>
      <c r="O124" s="331">
        <f>IF($F$2=$E$110,SUM([1]Calcs!AV141,[1]Calcs!AV147)*$G$2,SUM([1]Calcs!AV141,[1]Calcs!AV147)*O101)</f>
        <v>0</v>
      </c>
      <c r="P124" s="331">
        <f>IF($F$2=$E$110,SUM([1]Calcs!AW141,[1]Calcs!AW147)*$G$2,SUM([1]Calcs!AW141,[1]Calcs!AW147)*P101)</f>
        <v>0</v>
      </c>
      <c r="Q124" s="361"/>
    </row>
    <row r="125" spans="5:17" hidden="1" outlineLevel="1" x14ac:dyDescent="0.3">
      <c r="E125" s="362" t="s">
        <v>264</v>
      </c>
      <c r="G125" s="331">
        <f>IF($F$2=$E$110,SUM([1]Calcs!AN142,[1]Calcs!AN148)*$G$2,SUM([1]Calcs!AN142,[1]Calcs!AN148)*G101)</f>
        <v>11976.08146667578</v>
      </c>
      <c r="H125" s="331">
        <f>IF($F$2=$E$110,SUM([1]Calcs!AO142,[1]Calcs!AO148)*$G$2,SUM([1]Calcs!AO142,[1]Calcs!AO148)*H101)</f>
        <v>30494.425923388451</v>
      </c>
      <c r="I125" s="331">
        <f>IF($F$2=$E$110,SUM([1]Calcs!AP142,[1]Calcs!AP148)*$G$2,SUM([1]Calcs!AP142,[1]Calcs!AP148)*I101)</f>
        <v>137909.91459717244</v>
      </c>
      <c r="J125" s="331">
        <f>IF($F$2=$E$110,SUM([1]Calcs!AQ142,[1]Calcs!AQ148)*$G$2,SUM([1]Calcs!AQ142,[1]Calcs!AQ148)*J101)</f>
        <v>194783.9633770464</v>
      </c>
      <c r="K125" s="331">
        <f>IF($F$2=$E$110,SUM([1]Calcs!AR142,[1]Calcs!AR148)*$G$2,SUM([1]Calcs!AR142,[1]Calcs!AR148)*K101)</f>
        <v>376590.13304030959</v>
      </c>
      <c r="L125" s="331">
        <f>IF($F$2=$E$110,SUM([1]Calcs!AS142,[1]Calcs!AS148)*$G$2,SUM([1]Calcs!AS142,[1]Calcs!AS148)*L101)</f>
        <v>0</v>
      </c>
      <c r="M125" s="331">
        <f>IF($F$2=$E$110,SUM([1]Calcs!AT142,[1]Calcs!AT148)*$G$2,SUM([1]Calcs!AT142,[1]Calcs!AT148)*M101)</f>
        <v>0</v>
      </c>
      <c r="N125" s="331">
        <f>IF($F$2=$E$110,SUM([1]Calcs!AU142,[1]Calcs!AU148)*$G$2,SUM([1]Calcs!AU142,[1]Calcs!AU148)*N101)</f>
        <v>0</v>
      </c>
      <c r="O125" s="331">
        <f>IF($F$2=$E$110,SUM([1]Calcs!AV142,[1]Calcs!AV148)*$G$2,SUM([1]Calcs!AV142,[1]Calcs!AV148)*O101)</f>
        <v>0</v>
      </c>
      <c r="P125" s="331">
        <f>IF($F$2=$E$110,SUM([1]Calcs!AW142,[1]Calcs!AW148)*$G$2,SUM([1]Calcs!AW142,[1]Calcs!AW148)*P101)</f>
        <v>0</v>
      </c>
      <c r="Q125" s="361"/>
    </row>
    <row r="126" spans="5:17" hidden="1" outlineLevel="1" x14ac:dyDescent="0.3">
      <c r="E126" s="362"/>
      <c r="Q126" s="361"/>
    </row>
    <row r="127" spans="5:17" hidden="1" outlineLevel="1" x14ac:dyDescent="0.3">
      <c r="E127" s="360" t="s">
        <v>269</v>
      </c>
      <c r="Q127" s="361"/>
    </row>
    <row r="128" spans="5:17" hidden="1" outlineLevel="1" x14ac:dyDescent="0.3">
      <c r="E128" s="362" t="s">
        <v>266</v>
      </c>
      <c r="G128" s="331">
        <f>-IFERROR(G39*SUM(Inputs!E28,Inputs!E43)/SUM(Inputs!E27,Inputs!E42),0)</f>
        <v>973.11979037249546</v>
      </c>
      <c r="H128" s="331">
        <f>-IFERROR(H39*SUM(Inputs!F28,Inputs!F43)/SUM(Inputs!F27,Inputs!F42),0)</f>
        <v>0</v>
      </c>
      <c r="I128" s="331">
        <f>-IFERROR(I39*SUM(Inputs!G28,Inputs!G43)/SUM(Inputs!G27,Inputs!G42),0)</f>
        <v>110.47847596847355</v>
      </c>
      <c r="J128" s="331">
        <f>-IFERROR(J39*SUM(Inputs!H28,Inputs!H43)/SUM(Inputs!H27,Inputs!H42),0)</f>
        <v>3455.6050492963068</v>
      </c>
      <c r="K128" s="331">
        <f>-IFERROR(K39*SUM(Inputs!I28,Inputs!I43)/SUM(Inputs!I27,Inputs!I42),0)</f>
        <v>6420.8337184500861</v>
      </c>
      <c r="L128" s="331">
        <f>-IFERROR(L39*SUM(Inputs!J28,Inputs!J43)/SUM(Inputs!J27,Inputs!J42),0)</f>
        <v>0</v>
      </c>
      <c r="M128" s="331">
        <f>-IFERROR(M39*SUM(Inputs!K28,Inputs!K43)/SUM(Inputs!K27,Inputs!K42),0)</f>
        <v>0</v>
      </c>
      <c r="N128" s="331">
        <f>-IFERROR(N39*SUM(Inputs!L28,Inputs!L43)/SUM(Inputs!L27,Inputs!L42),0)</f>
        <v>0</v>
      </c>
      <c r="O128" s="331">
        <f>-IFERROR(O39*SUM(Inputs!M28,Inputs!M43)/SUM(Inputs!M27,Inputs!M42),0)</f>
        <v>0</v>
      </c>
      <c r="P128" s="331">
        <f>-IFERROR(P39*SUM(Inputs!N28,Inputs!N43)/SUM(Inputs!N27,Inputs!N42),0)</f>
        <v>0</v>
      </c>
      <c r="Q128" s="361"/>
    </row>
    <row r="129" spans="5:17" hidden="1" outlineLevel="1" x14ac:dyDescent="0.3">
      <c r="E129" s="362" t="s">
        <v>267</v>
      </c>
      <c r="G129" s="331">
        <f>-IFERROR(G39*SUM(Inputs!E29,Inputs!E44)/SUM(Inputs!E27,Inputs!E42),0)</f>
        <v>0</v>
      </c>
      <c r="H129" s="331">
        <f>-IFERROR(H39*SUM(Inputs!F29,Inputs!F44)/SUM(Inputs!F27,Inputs!F42),0)</f>
        <v>0</v>
      </c>
      <c r="I129" s="331">
        <f>-IFERROR(I39*SUM(Inputs!G29,Inputs!G44)/SUM(Inputs!G27,Inputs!G42),0)</f>
        <v>0</v>
      </c>
      <c r="J129" s="331">
        <f>-IFERROR(J39*SUM(Inputs!H29,Inputs!H44)/SUM(Inputs!H27,Inputs!H42),0)</f>
        <v>0</v>
      </c>
      <c r="K129" s="331">
        <f>-IFERROR(K39*SUM(Inputs!I29,Inputs!I44)/SUM(Inputs!I27,Inputs!I42),0)</f>
        <v>0</v>
      </c>
      <c r="L129" s="331">
        <f>-IFERROR(L39*SUM(Inputs!J29,Inputs!J44)/SUM(Inputs!J27,Inputs!J42),0)</f>
        <v>0</v>
      </c>
      <c r="M129" s="331">
        <f>-IFERROR(M39*SUM(Inputs!K29,Inputs!K44)/SUM(Inputs!K27,Inputs!K42),0)</f>
        <v>0</v>
      </c>
      <c r="N129" s="331">
        <f>-IFERROR(N39*SUM(Inputs!L29,Inputs!L44)/SUM(Inputs!L27,Inputs!L42),0)</f>
        <v>0</v>
      </c>
      <c r="O129" s="331">
        <f>-IFERROR(O39*SUM(Inputs!M29,Inputs!M44)/SUM(Inputs!M27,Inputs!M42),0)</f>
        <v>0</v>
      </c>
      <c r="P129" s="331">
        <f>-IFERROR(P39*SUM(Inputs!N29,Inputs!N44)/SUM(Inputs!N27,Inputs!N42),0)</f>
        <v>0</v>
      </c>
      <c r="Q129" s="361"/>
    </row>
    <row r="130" spans="5:17" hidden="1" outlineLevel="1" x14ac:dyDescent="0.3">
      <c r="E130" s="362" t="s">
        <v>268</v>
      </c>
      <c r="G130" s="331">
        <f>-IFERROR(G39*SUM(Inputs!E31,Inputs!E46)/SUM(Inputs!E27,Inputs!E42),0)</f>
        <v>39.448519279857244</v>
      </c>
      <c r="H130" s="331">
        <f>-IFERROR(H39*SUM(Inputs!F31,Inputs!F46)/SUM(Inputs!F27,Inputs!F42),0)</f>
        <v>0</v>
      </c>
      <c r="I130" s="331">
        <f>-IFERROR(I39*SUM(Inputs!G31,Inputs!G46)/SUM(Inputs!G27,Inputs!G42),0)</f>
        <v>6.0211289428943742</v>
      </c>
      <c r="J130" s="331">
        <f>-IFERROR(J39*SUM(Inputs!H31,Inputs!H46)/SUM(Inputs!H27,Inputs!H42),0)</f>
        <v>188.33210175226682</v>
      </c>
      <c r="K130" s="331">
        <f>-IFERROR(K39*SUM(Inputs!I31,Inputs!I46)/SUM(Inputs!I27,Inputs!I42),0)</f>
        <v>362.42106584506735</v>
      </c>
      <c r="L130" s="331">
        <f>-IFERROR(L39*SUM(Inputs!J31,Inputs!J46)/SUM(Inputs!J27,Inputs!J42),0)</f>
        <v>0</v>
      </c>
      <c r="M130" s="331">
        <f>-IFERROR(M39*SUM(Inputs!K31,Inputs!K46)/SUM(Inputs!K27,Inputs!K42),0)</f>
        <v>0</v>
      </c>
      <c r="N130" s="331">
        <f>-IFERROR(N39*SUM(Inputs!L31,Inputs!L46)/SUM(Inputs!L27,Inputs!L42),0)</f>
        <v>0</v>
      </c>
      <c r="O130" s="331">
        <f>-IFERROR(O39*SUM(Inputs!M31,Inputs!M46)/SUM(Inputs!M27,Inputs!M42),0)</f>
        <v>0</v>
      </c>
      <c r="P130" s="331">
        <f>-IFERROR(P39*SUM(Inputs!N31,Inputs!N46)/SUM(Inputs!N27,Inputs!N42),0)</f>
        <v>0</v>
      </c>
      <c r="Q130" s="361"/>
    </row>
    <row r="131" spans="5:17" hidden="1" outlineLevel="1" x14ac:dyDescent="0.3">
      <c r="E131" s="363" t="s">
        <v>264</v>
      </c>
      <c r="F131" s="364"/>
      <c r="G131" s="365">
        <f>-IFERROR(G39*SUM(Inputs!E32,Inputs!E47)/SUM(Inputs!E27,Inputs!E42),0)</f>
        <v>233.93169034764736</v>
      </c>
      <c r="H131" s="365">
        <f>-IFERROR(H39*SUM(Inputs!F32,Inputs!F47)/SUM(Inputs!F27,Inputs!F42),0)</f>
        <v>0</v>
      </c>
      <c r="I131" s="365">
        <f>-IFERROR(I39*SUM(Inputs!G32,Inputs!G47)/SUM(Inputs!G27,Inputs!G42),0)</f>
        <v>74.200035187342252</v>
      </c>
      <c r="J131" s="365">
        <f>-IFERROR(J39*SUM(Inputs!H32,Inputs!H47)/SUM(Inputs!H27,Inputs!H42),0)</f>
        <v>2320.8685131075872</v>
      </c>
      <c r="K131" s="365">
        <f>-IFERROR(K39*SUM(Inputs!I32,Inputs!I47)/SUM(Inputs!I27,Inputs!I42),0)</f>
        <v>4695.2515683062575</v>
      </c>
      <c r="L131" s="365">
        <f>-IFERROR(L39*SUM(Inputs!J32,Inputs!J47)/SUM(Inputs!J27,Inputs!J42),0)</f>
        <v>0</v>
      </c>
      <c r="M131" s="365">
        <f>-IFERROR(M39*SUM(Inputs!K32,Inputs!K47)/SUM(Inputs!K27,Inputs!K42),0)</f>
        <v>0</v>
      </c>
      <c r="N131" s="365">
        <f>-IFERROR(N39*SUM(Inputs!L32,Inputs!L47)/SUM(Inputs!L27,Inputs!L42),0)</f>
        <v>0</v>
      </c>
      <c r="O131" s="365">
        <f>-IFERROR(O39*SUM(Inputs!M32,Inputs!M47)/SUM(Inputs!M27,Inputs!M42),0)</f>
        <v>0</v>
      </c>
      <c r="P131" s="365">
        <f>-IFERROR(P39*SUM(Inputs!N32,Inputs!N47)/SUM(Inputs!N27,Inputs!N42),0)</f>
        <v>0</v>
      </c>
      <c r="Q131" s="366"/>
    </row>
    <row r="132" spans="5:17" collapsed="1" x14ac:dyDescent="0.3"/>
  </sheetData>
  <sheetProtection algorithmName="SHA-512" hashValue="pB27kkMWwHj9jtWJIIbDj8tgzqVEUdkIdchh0Hoo1toPxcxDvxii9iiQs6e9q003VeiatNRZsQz53rxcXg4U0g==" saltValue="pOqwV9R7HAYy5Vtcf6Qcrw==" spinCount="100000" sheet="1" objects="1" scenarios="1"/>
  <mergeCells count="13">
    <mergeCell ref="N86:P86"/>
    <mergeCell ref="E33:E39"/>
    <mergeCell ref="B38:C38"/>
    <mergeCell ref="B39:C39"/>
    <mergeCell ref="B42:C42"/>
    <mergeCell ref="N76:P76"/>
    <mergeCell ref="N77:P77"/>
    <mergeCell ref="H2:I2"/>
    <mergeCell ref="J2:K2"/>
    <mergeCell ref="L2:M2"/>
    <mergeCell ref="E9:E16"/>
    <mergeCell ref="B14:C14"/>
    <mergeCell ref="E18:E32"/>
  </mergeCells>
  <conditionalFormatting sqref="C29">
    <cfRule type="cellIs" dxfId="6" priority="4" operator="greaterThan">
      <formula>0.35</formula>
    </cfRule>
  </conditionalFormatting>
  <conditionalFormatting sqref="G2">
    <cfRule type="expression" dxfId="5" priority="5">
      <formula>$F$2&lt;&gt;$E$110</formula>
    </cfRule>
    <cfRule type="expression" dxfId="4" priority="6">
      <formula>$G$2&gt;0.35</formula>
    </cfRule>
  </conditionalFormatting>
  <conditionalFormatting sqref="G34:P37">
    <cfRule type="cellIs" dxfId="3" priority="2" operator="greaterThan">
      <formula>0</formula>
    </cfRule>
  </conditionalFormatting>
  <conditionalFormatting sqref="G74:P74">
    <cfRule type="expression" dxfId="2" priority="1">
      <formula>G$59&lt;=$C$15</formula>
    </cfRule>
  </conditionalFormatting>
  <conditionalFormatting sqref="S74">
    <cfRule type="expression" dxfId="1" priority="3">
      <formula>$Q$74=0</formula>
    </cfRule>
  </conditionalFormatting>
  <dataValidations count="2">
    <dataValidation type="decimal" errorStyle="warning" operator="lessThan" allowBlank="1" showInputMessage="1" showErrorMessage="1" prompt="Input Incentives as Negative Amount" sqref="G34:P37" xr:uid="{3B4DFD96-F7D3-4C6A-9F78-A7C4D2F4DB3A}">
      <formula1>0</formula1>
    </dataValidation>
    <dataValidation type="list" allowBlank="1" showInputMessage="1" showErrorMessage="1" sqref="F2" xr:uid="{32166771-3D84-4E40-A8A5-A5A331D53E85}">
      <formula1>Incentive_Options</formula1>
    </dataValidation>
  </dataValidations>
  <pageMargins left="0.7" right="0.7" top="0.75" bottom="0.75" header="0.3" footer="0.3"/>
  <pageSetup scale="46"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7" id="{5B5D7CC2-D0A6-45A7-868A-3948FC825FD8}">
            <xm:f>$G$34&lt;-500000/Inputs!$O$1</xm:f>
            <x14:dxf>
              <fill>
                <patternFill>
                  <bgColor rgb="FFFF0000"/>
                </patternFill>
              </fill>
            </x14:dxf>
          </x14:cfRule>
          <xm:sqref>G34:G35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Intro</vt:lpstr>
      <vt:lpstr>Inputs</vt:lpstr>
      <vt:lpstr>P&amp;L</vt:lpstr>
      <vt:lpstr>Incentive_Options</vt:lpstr>
      <vt:lpstr>Intro!Print_Area</vt:lpstr>
      <vt:lpstr>'P&amp;L'!Print_Area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Ganpatlal, Pankaj</dc:creator>
  <cp:lastModifiedBy>Ganpatlal, Pankaj</cp:lastModifiedBy>
  <dcterms:created xsi:type="dcterms:W3CDTF">2026-03-24T13:26:06Z</dcterms:created>
  <dcterms:modified xsi:type="dcterms:W3CDTF">2026-03-24T13:27:15Z</dcterms:modified>
</cp:coreProperties>
</file>