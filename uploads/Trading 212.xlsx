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visainc.sharepoint.com/sites/Internal-GlobalMMBPOGroup/Shared Documents/General/10_VD Data, Analytics and Insight planner/1. Project Management/2. Projects/Globbery/Input files/"/>
    </mc:Choice>
  </mc:AlternateContent>
  <xr:revisionPtr revIDLastSave="0" documentId="8_{0EFA083C-D396-466C-A134-D41D338190BC}" xr6:coauthVersionLast="47" xr6:coauthVersionMax="47" xr10:uidLastSave="{00000000-0000-0000-0000-000000000000}"/>
  <bookViews>
    <workbookView xWindow="-108" yWindow="-108" windowWidth="23256" windowHeight="13896" xr2:uid="{630ADFFD-104D-4267-A80F-687194E231B0}"/>
  </bookViews>
  <sheets>
    <sheet name="Intro" sheetId="1" r:id="rId1"/>
    <sheet name="P&amp;L" sheetId="2" r:id="rId2"/>
    <sheet name="Inputs" sheetId="3" r:id="rId3"/>
  </sheets>
  <externalReferences>
    <externalReference r:id="rId4"/>
    <externalReference r:id="rId5"/>
  </externalReferences>
  <definedNames>
    <definedName name="___________AUS1" hidden="1">{"february96",#N/A,FALSE,"report"}</definedName>
    <definedName name="_________AUS1" hidden="1">{"february96",#N/A,FALSE,"report"}</definedName>
    <definedName name="________AUS1" hidden="1">{"february96",#N/A,FALSE,"report"}</definedName>
    <definedName name="_______AUS1" hidden="1">{"february96",#N/A,FALSE,"report"}</definedName>
    <definedName name="______AUS1" hidden="1">{"february96",#N/A,FALSE,"report"}</definedName>
    <definedName name="_____AUS1" hidden="1">{"february96",#N/A,FALSE,"report"}</definedName>
    <definedName name="____AUS1" hidden="1">{"february96",#N/A,FALSE,"report"}</definedName>
    <definedName name="___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PL2"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__PL3"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__PL4" hidden="1">{#N/A,#N/A,FALSE,"Report Data";#N/A,#N/A,FALSE,"COMP POOL";#N/A,#N/A,FALSE,"COMP POOL NB95";#N/A,#N/A,FALSE,"COMP POOL NB94"}</definedName>
    <definedName name="____PL5"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__ver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_AUS1" hidden="1">{"february96",#N/A,FALSE,"report"}</definedName>
    <definedName name="___juk7" hidden="1">#REF!</definedName>
    <definedName name="__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PL2"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_PL3"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_PL4" hidden="1">{#N/A,#N/A,FALSE,"Report Data";#N/A,#N/A,FALSE,"COMP POOL";#N/A,#N/A,FALSE,"COMP POOL NB95";#N/A,#N/A,FALSE,"COMP POOL NB94"}</definedName>
    <definedName name="___PL5"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_ver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1__123Graph_ACHART_1" hidden="1">#REF!</definedName>
    <definedName name="__10__123Graph_ACHART_3" hidden="1">#REF!</definedName>
    <definedName name="__100__123Graph_XCHART_16" hidden="1">#REF!</definedName>
    <definedName name="__101__123Graph_XCHART_17" hidden="1">#REF!</definedName>
    <definedName name="__102__123Graph_XCHART_18" hidden="1">#REF!</definedName>
    <definedName name="__103__123Graph_XCHART_2" hidden="1">#REF!</definedName>
    <definedName name="__104__123Graph_XCHART_26" hidden="1">#REF!</definedName>
    <definedName name="__105__123Graph_XCHART_27" hidden="1">#REF!</definedName>
    <definedName name="__106__123Graph_XCHART_29" hidden="1">#REF!</definedName>
    <definedName name="__107__123Graph_XCHART_3" hidden="1">#REF!</definedName>
    <definedName name="__108__123Graph_XCHART_30" hidden="1">#REF!</definedName>
    <definedName name="__109__123Graph_XCHART_31" hidden="1">#REF!</definedName>
    <definedName name="__11__123Graph_ACHART_30" hidden="1">#REF!</definedName>
    <definedName name="__110__123Graph_XCHART_32" hidden="1">#REF!</definedName>
    <definedName name="__111__123Graph_XCHART_33" hidden="1">#REF!</definedName>
    <definedName name="__112__123Graph_XCHART_34" hidden="1">#REF!</definedName>
    <definedName name="__113__123Graph_XCHART_35" hidden="1">#REF!</definedName>
    <definedName name="__114__123Graph_XCHART_36" hidden="1">#REF!</definedName>
    <definedName name="__115__123Graph_XCHART_37" hidden="1">#REF!</definedName>
    <definedName name="__116__123Graph_XCHART_38" hidden="1">#REF!</definedName>
    <definedName name="__117__123Graph_XCHART_39" hidden="1">#REF!</definedName>
    <definedName name="__118__123Graph_XCHART_4" hidden="1">#REF!</definedName>
    <definedName name="__119__123Graph_XCHART_40" hidden="1">#REF!</definedName>
    <definedName name="__12__123Graph_ACHART_31" hidden="1">#REF!</definedName>
    <definedName name="__120__123Graph_XCHART_41" hidden="1">#REF!</definedName>
    <definedName name="__121__123Graph_XCHART_42" hidden="1">#REF!</definedName>
    <definedName name="__122__123Graph_XCHART_43" hidden="1">#REF!</definedName>
    <definedName name="__123__123Graph_XCHART_44" hidden="1">#REF!</definedName>
    <definedName name="__123Graph_A" hidden="1">#REF!</definedName>
    <definedName name="__123Graph_B" hidden="1">#REF!</definedName>
    <definedName name="__123Graph_D" hidden="1">#REF!</definedName>
    <definedName name="__123Graph_LBL_A" hidden="1">#REF!</definedName>
    <definedName name="__123Graph_LBL_B" hidden="1">#REF!</definedName>
    <definedName name="__123Graph_X" hidden="1">#REF!</definedName>
    <definedName name="__124__123Graph_XCHART_45" hidden="1">#REF!</definedName>
    <definedName name="__125__123Graph_XCHART_46" hidden="1">#REF!</definedName>
    <definedName name="__126__123Graph_XCHART_47" hidden="1">#REF!</definedName>
    <definedName name="__127__123Graph_XCHART_48" hidden="1">#REF!</definedName>
    <definedName name="__128__123Graph_XCHART_5" hidden="1">#REF!</definedName>
    <definedName name="__129__123Graph_XCHART_6" hidden="1">#REF!</definedName>
    <definedName name="__13__123Graph_ACHART_32" hidden="1">#REF!</definedName>
    <definedName name="__14__123Graph_ACHART_33" hidden="1">#REF!</definedName>
    <definedName name="__15__123Graph_ACHART_34" hidden="1">#REF!</definedName>
    <definedName name="__16__123Graph_ACHART_35" hidden="1">#REF!</definedName>
    <definedName name="__17__123Graph_ACHART_36" hidden="1">#REF!</definedName>
    <definedName name="__18__123Graph_ACHART_37" hidden="1">#REF!</definedName>
    <definedName name="__19__123Graph_ACHART_38" hidden="1">#REF!</definedName>
    <definedName name="__2__123Graph_ACHART_13" hidden="1">#REF!</definedName>
    <definedName name="__20__123Graph_ACHART_39" hidden="1">#REF!</definedName>
    <definedName name="__21__123Graph_ACHART_4" hidden="1">#REF!</definedName>
    <definedName name="__22__123Graph_ACHART_40" hidden="1">#REF!</definedName>
    <definedName name="__23__123Graph_ACHART_41" hidden="1">#REF!</definedName>
    <definedName name="__24__123Graph_ACHART_42" hidden="1">#REF!</definedName>
    <definedName name="__25__123Graph_ACHART_43" hidden="1">#REF!</definedName>
    <definedName name="__26__123Graph_ACHART_44" hidden="1">#REF!</definedName>
    <definedName name="__27__123Graph_ACHART_45" hidden="1">#REF!</definedName>
    <definedName name="__28__123Graph_ACHART_46" hidden="1">#REF!</definedName>
    <definedName name="__29__123Graph_ACHART_47" hidden="1">#REF!</definedName>
    <definedName name="__3__123Graph_ACHART_14" hidden="1">#REF!</definedName>
    <definedName name="__30__123Graph_ACHART_48" hidden="1">#REF!</definedName>
    <definedName name="__31__123Graph_ACHART_5" hidden="1">#REF!</definedName>
    <definedName name="__32__123Graph_ACHART_6" hidden="1">#REF!</definedName>
    <definedName name="__33__123Graph_BCHART_1" hidden="1">#REF!</definedName>
    <definedName name="__34__123Graph_BCHART_13" hidden="1">#REF!</definedName>
    <definedName name="__35__123Graph_BCHART_14" hidden="1">#REF!</definedName>
    <definedName name="__36__123Graph_BCHART_16" hidden="1">#REF!</definedName>
    <definedName name="__37__123Graph_BCHART_17" hidden="1">#REF!</definedName>
    <definedName name="__38__123Graph_BCHART_18" hidden="1">#REF!</definedName>
    <definedName name="__39__123Graph_BCHART_2" hidden="1">#REF!</definedName>
    <definedName name="__4__123Graph_ACHART_15" hidden="1">#REF!</definedName>
    <definedName name="__40__123Graph_BCHART_26" hidden="1">#REF!</definedName>
    <definedName name="__41__123Graph_BCHART_27" hidden="1">#REF!</definedName>
    <definedName name="__42__123Graph_BCHART_3" hidden="1">#REF!</definedName>
    <definedName name="__43__123Graph_BCHART_31" hidden="1">#REF!</definedName>
    <definedName name="__44__123Graph_BCHART_32" hidden="1">#REF!</definedName>
    <definedName name="__45__123Graph_BCHART_33" hidden="1">#REF!</definedName>
    <definedName name="__46__123Graph_BCHART_34" hidden="1">#REF!</definedName>
    <definedName name="__47__123Graph_BCHART_35" hidden="1">#REF!</definedName>
    <definedName name="__48__123Graph_BCHART_36" hidden="1">#REF!</definedName>
    <definedName name="__49__123Graph_BCHART_37" hidden="1">#REF!</definedName>
    <definedName name="__5__123Graph_ACHART_2" hidden="1">#REF!</definedName>
    <definedName name="__50__123Graph_BCHART_38" hidden="1">#REF!</definedName>
    <definedName name="__51__123Graph_BCHART_39" hidden="1">#REF!</definedName>
    <definedName name="__52__123Graph_BCHART_4" hidden="1">#REF!</definedName>
    <definedName name="__53__123Graph_BCHART_40" hidden="1">#REF!</definedName>
    <definedName name="__54__123Graph_BCHART_41" hidden="1">#REF!</definedName>
    <definedName name="__55__123Graph_BCHART_42" hidden="1">#REF!</definedName>
    <definedName name="__56__123Graph_BCHART_5" hidden="1">#REF!</definedName>
    <definedName name="__57__123Graph_BCHART_6" hidden="1">#REF!</definedName>
    <definedName name="__58__123Graph_CCHART_1" hidden="1">#REF!</definedName>
    <definedName name="__59__123Graph_CCHART_2" hidden="1">#REF!</definedName>
    <definedName name="__6__123Graph_ACHART_26" hidden="1">#REF!</definedName>
    <definedName name="__60__123Graph_CCHART_3" hidden="1">#REF!</definedName>
    <definedName name="__61__123Graph_CCHART_4" hidden="1">#REF!</definedName>
    <definedName name="__62__123Graph_CCHART_5" hidden="1">#REF!</definedName>
    <definedName name="__63__123Graph_CCHART_6" hidden="1">#REF!</definedName>
    <definedName name="__64__123Graph_DCHART_4" hidden="1">#REF!</definedName>
    <definedName name="__65__123Graph_ECHART_4" hidden="1">#REF!</definedName>
    <definedName name="__66__123Graph_FCHART_4" hidden="1">#REF!</definedName>
    <definedName name="__67__123Graph_LBL_ACHART_13" hidden="1">#REF!</definedName>
    <definedName name="__68__123Graph_LBL_ACHART_15" hidden="1">#REF!</definedName>
    <definedName name="__69__123Graph_LBL_ACHART_16" hidden="1">#REF!</definedName>
    <definedName name="__7__123Graph_ACHART_27" hidden="1">#REF!</definedName>
    <definedName name="__70__123Graph_LBL_ACHART_17" hidden="1">#REF!</definedName>
    <definedName name="__71__123Graph_LBL_ACHART_18" hidden="1">#REF!</definedName>
    <definedName name="__72__123Graph_LBL_ACHART_27" hidden="1">#REF!</definedName>
    <definedName name="__73__123Graph_LBL_ACHART_31" hidden="1">#REF!</definedName>
    <definedName name="__74__123Graph_LBL_ACHART_33" hidden="1">#REF!</definedName>
    <definedName name="__75__123Graph_LBL_ACHART_34" hidden="1">#REF!</definedName>
    <definedName name="__76__123Graph_LBL_ACHART_35" hidden="1">#REF!</definedName>
    <definedName name="__77__123Graph_LBL_ACHART_36" hidden="1">#REF!</definedName>
    <definedName name="__78__123Graph_LBL_ACHART_37" hidden="1">#REF!</definedName>
    <definedName name="__79__123Graph_LBL_ACHART_39" hidden="1">#REF!</definedName>
    <definedName name="__8__123Graph_ACHART_28" hidden="1">#REF!</definedName>
    <definedName name="__80__123Graph_LBL_ACHART_43" hidden="1">#REF!</definedName>
    <definedName name="__81__123Graph_LBL_ACHART_45" hidden="1">#REF!</definedName>
    <definedName name="__82__123Graph_LBL_BCHART_13" hidden="1">#REF!</definedName>
    <definedName name="__83__123Graph_LBL_BCHART_15" hidden="1">#REF!</definedName>
    <definedName name="__84__123Graph_LBL_BCHART_16" hidden="1">#REF!</definedName>
    <definedName name="__85__123Graph_LBL_BCHART_17" hidden="1">#REF!</definedName>
    <definedName name="__86__123Graph_LBL_BCHART_18" hidden="1">#REF!</definedName>
    <definedName name="__87__123Graph_LBL_BCHART_27" hidden="1">#REF!</definedName>
    <definedName name="__88__123Graph_LBL_BCHART_31" hidden="1">#REF!</definedName>
    <definedName name="__89__123Graph_LBL_BCHART_33" hidden="1">#REF!</definedName>
    <definedName name="__9__123Graph_ACHART_29" hidden="1">#REF!</definedName>
    <definedName name="__90__123Graph_LBL_BCHART_34" hidden="1">#REF!</definedName>
    <definedName name="__91__123Graph_LBL_BCHART_35" hidden="1">#REF!</definedName>
    <definedName name="__92__123Graph_LBL_BCHART_36" hidden="1">#REF!</definedName>
    <definedName name="__93__123Graph_LBL_BCHART_37" hidden="1">#REF!</definedName>
    <definedName name="__94__123Graph_LBL_BCHART_39" hidden="1">#REF!</definedName>
    <definedName name="__95__123Graph_LBL_BCHART_43" hidden="1">#REF!</definedName>
    <definedName name="__96__123Graph_XCHART_1" hidden="1">#REF!</definedName>
    <definedName name="__97__123Graph_XCHART_13" hidden="1">#REF!</definedName>
    <definedName name="__98__123Graph_XCHART_14" hidden="1">#REF!</definedName>
    <definedName name="__99__123Graph_XCHART_15" hidden="1">#REF!</definedName>
    <definedName name="__AUS1" hidden="1">{"february96",#N/A,FALSE,"report"}</definedName>
    <definedName name="__DSAuthor" hidden="1">"Simon Haslam"</definedName>
    <definedName name="__DSComments" hidden="1">"First draft of QMS (part of the Bid Manager's Pack)"</definedName>
    <definedName name="__DSCreated" hidden="1">" November 8, 1992"</definedName>
    <definedName name="__DSRevision" hidden="1">1</definedName>
    <definedName name="__DSSubject" hidden="1">"Quotation Management Summary"</definedName>
    <definedName name="__DSTitle" hidden="1">"QMS"</definedName>
    <definedName name="__FDS_HYPERLINK_TOGGLE_STATE__" hidden="1">"ON"</definedName>
    <definedName name="__IntlFixup" hidden="1">TRUE</definedName>
    <definedName name="__juk7" hidden="1">#REF!</definedName>
    <definedName name="_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PL2"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PL3"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PL4" hidden="1">{#N/A,#N/A,FALSE,"Report Data";#N/A,#N/A,FALSE,"COMP POOL";#N/A,#N/A,FALSE,"COMP POOL NB95";#N/A,#N/A,FALSE,"COMP POOL NB94"}</definedName>
    <definedName name="__PL5"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ver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xlfn.BAHTTEXT" hidden="1">#NAME?</definedName>
    <definedName name="_1__123Graph_ACHART_1" hidden="1">#REF!</definedName>
    <definedName name="_10__123Graph_ACHART_3" hidden="1">#REF!</definedName>
    <definedName name="_100__123Graph_XCHART_16" hidden="1">#REF!</definedName>
    <definedName name="_101__123Graph_XCHART_17" hidden="1">#REF!</definedName>
    <definedName name="_102__123Graph_XCHART_18" hidden="1">#REF!</definedName>
    <definedName name="_103__123Graph_XCHART_2" hidden="1">#REF!</definedName>
    <definedName name="_104__123Graph_XCHART_26" hidden="1">#REF!</definedName>
    <definedName name="_105__123Graph_XCHART_27" hidden="1">#REF!</definedName>
    <definedName name="_106__123Graph_XCHART_29" hidden="1">#REF!</definedName>
    <definedName name="_107__123Graph_XCHART_3" hidden="1">#REF!</definedName>
    <definedName name="_108__123Graph_XCHART_30" hidden="1">#REF!</definedName>
    <definedName name="_109__123Graph_XCHART_31" hidden="1">#REF!</definedName>
    <definedName name="_11__123Graph_ACHART_30" hidden="1">#REF!</definedName>
    <definedName name="_110__123Graph_XCHART_32" hidden="1">#REF!</definedName>
    <definedName name="_111__123Graph_XCHART_33" hidden="1">#REF!</definedName>
    <definedName name="_112__123Graph_XCHART_34" hidden="1">#REF!</definedName>
    <definedName name="_113__123Graph_XCHART_35" hidden="1">#REF!</definedName>
    <definedName name="_114__123Graph_XCHART_36" hidden="1">#REF!</definedName>
    <definedName name="_115__123Graph_XCHART_37" hidden="1">#REF!</definedName>
    <definedName name="_116__123Graph_XCHART_38" hidden="1">#REF!</definedName>
    <definedName name="_117__123Graph_XCHART_39" hidden="1">#REF!</definedName>
    <definedName name="_118__123Graph_XCHART_4" hidden="1">#REF!</definedName>
    <definedName name="_119__123Graph_XCHART_40" hidden="1">#REF!</definedName>
    <definedName name="_12__123Graph_ACHART_31" hidden="1">#REF!</definedName>
    <definedName name="_120__123Graph_XCHART_41" hidden="1">#REF!</definedName>
    <definedName name="_121__123Graph_XCHART_42" hidden="1">#REF!</definedName>
    <definedName name="_122__123Graph_XCHART_43" hidden="1">#REF!</definedName>
    <definedName name="_123__123Graph_XCHART_44" hidden="1">#REF!</definedName>
    <definedName name="_124__123Graph_XCHART_45" hidden="1">#REF!</definedName>
    <definedName name="_125__123Graph_XCHART_46" hidden="1">#REF!</definedName>
    <definedName name="_126__123Graph_XCHART_47" hidden="1">#REF!</definedName>
    <definedName name="_127__123Graph_XCHART_48" hidden="1">#REF!</definedName>
    <definedName name="_128__123Graph_XCHART_5" hidden="1">#REF!</definedName>
    <definedName name="_129__123Graph_XCHART_6" hidden="1">#REF!</definedName>
    <definedName name="_13__123Graph_ACHART_32" hidden="1">#REF!</definedName>
    <definedName name="_14__123Graph_ACHART_33" hidden="1">#REF!</definedName>
    <definedName name="_15__123Graph_ACHART_34" hidden="1">#REF!</definedName>
    <definedName name="_16__123Graph_ACHART_35" hidden="1">#REF!</definedName>
    <definedName name="_17__123Graph_ACHART_36" hidden="1">#REF!</definedName>
    <definedName name="_18__123Graph_ACHART_37" hidden="1">#REF!</definedName>
    <definedName name="_19__123Graph_ACHART_38" hidden="1">#REF!</definedName>
    <definedName name="_2__123Graph_ACHART_13" hidden="1">#REF!</definedName>
    <definedName name="_20__123Graph_ACHART_39" hidden="1">#REF!</definedName>
    <definedName name="_21__123Graph_ACHART_4" hidden="1">#REF!</definedName>
    <definedName name="_22__123Graph_ACHART_40" hidden="1">#REF!</definedName>
    <definedName name="_23__123Graph_ACHART_41" hidden="1">#REF!</definedName>
    <definedName name="_24__123Graph_ACHART_42" hidden="1">#REF!</definedName>
    <definedName name="_25__123Graph_ACHART_43" hidden="1">#REF!</definedName>
    <definedName name="_26__123Graph_ACHART_44" hidden="1">#REF!</definedName>
    <definedName name="_27__123Graph_ACHART_45" hidden="1">#REF!</definedName>
    <definedName name="_28__123Graph_ACHART_46" hidden="1">#REF!</definedName>
    <definedName name="_29__123Graph_ACHART_47" hidden="1">#REF!</definedName>
    <definedName name="_3__123Graph_ACHART_14" hidden="1">#REF!</definedName>
    <definedName name="_30__123Graph_ACHART_48" hidden="1">#REF!</definedName>
    <definedName name="_31__123Graph_ACHART_5" hidden="1">#REF!</definedName>
    <definedName name="_32__123Graph_ACHART_6" hidden="1">#REF!</definedName>
    <definedName name="_33__123Graph_BCHART_1" hidden="1">#REF!</definedName>
    <definedName name="_34__123Graph_BCHART_13" hidden="1">#REF!</definedName>
    <definedName name="_35__123Graph_BCHART_14" hidden="1">#REF!</definedName>
    <definedName name="_36__123Graph_BCHART_16" hidden="1">#REF!</definedName>
    <definedName name="_37__123Graph_BCHART_17" hidden="1">#REF!</definedName>
    <definedName name="_38__123Graph_BCHART_18" hidden="1">#REF!</definedName>
    <definedName name="_39__123Graph_BCHART_2" hidden="1">#REF!</definedName>
    <definedName name="_4__123Graph_ACHART_15" hidden="1">#REF!</definedName>
    <definedName name="_40__123Graph_BCHART_26" hidden="1">#REF!</definedName>
    <definedName name="_41__123Graph_BCHART_27" hidden="1">#REF!</definedName>
    <definedName name="_42__123Graph_BCHART_3" hidden="1">#REF!</definedName>
    <definedName name="_43__123Graph_BCHART_31" hidden="1">#REF!</definedName>
    <definedName name="_44__123Graph_BCHART_32" hidden="1">#REF!</definedName>
    <definedName name="_45__123Graph_BCHART_33" hidden="1">#REF!</definedName>
    <definedName name="_46__123Graph_BCHART_34" hidden="1">#REF!</definedName>
    <definedName name="_47__123Graph_BCHART_35" hidden="1">#REF!</definedName>
    <definedName name="_48__123Graph_BCHART_36" hidden="1">#REF!</definedName>
    <definedName name="_49__123Graph_BCHART_37" hidden="1">#REF!</definedName>
    <definedName name="_5__123Graph_ACHART_2" hidden="1">#REF!</definedName>
    <definedName name="_50__123Graph_BCHART_38" hidden="1">#REF!</definedName>
    <definedName name="_51__123Graph_BCHART_39" hidden="1">#REF!</definedName>
    <definedName name="_52__123Graph_BCHART_4" hidden="1">#REF!</definedName>
    <definedName name="_53__123Graph_BCHART_40" hidden="1">#REF!</definedName>
    <definedName name="_54__123Graph_BCHART_41" hidden="1">#REF!</definedName>
    <definedName name="_55__123Graph_BCHART_42" hidden="1">#REF!</definedName>
    <definedName name="_56__123Graph_BCHART_5" hidden="1">#REF!</definedName>
    <definedName name="_57__123Graph_BCHART_6" hidden="1">#REF!</definedName>
    <definedName name="_58__123Graph_CCHART_1" hidden="1">#REF!</definedName>
    <definedName name="_59__123Graph_CCHART_2" hidden="1">#REF!</definedName>
    <definedName name="_6__123Graph_ACHART_26" hidden="1">#REF!</definedName>
    <definedName name="_60__123Graph_CCHART_3" hidden="1">#REF!</definedName>
    <definedName name="_61__123Graph_CCHART_4" hidden="1">#REF!</definedName>
    <definedName name="_62__123Graph_CCHART_5" hidden="1">#REF!</definedName>
    <definedName name="_63__123Graph_CCHART_6" hidden="1">#REF!</definedName>
    <definedName name="_64__123Graph_DCHART_4" hidden="1">#REF!</definedName>
    <definedName name="_65__123Graph_ECHART_4" hidden="1">#REF!</definedName>
    <definedName name="_66__123Graph_FCHART_4" hidden="1">#REF!</definedName>
    <definedName name="_67__123Graph_LBL_ACHART_13" hidden="1">#REF!</definedName>
    <definedName name="_68__123Graph_LBL_ACHART_15" hidden="1">#REF!</definedName>
    <definedName name="_69__123Graph_LBL_ACHART_16" hidden="1">#REF!</definedName>
    <definedName name="_7__123Graph_ACHART_27" hidden="1">#REF!</definedName>
    <definedName name="_70__123Graph_LBL_ACHART_17" hidden="1">#REF!</definedName>
    <definedName name="_71__123Graph_LBL_ACHART_18" hidden="1">#REF!</definedName>
    <definedName name="_72__123Graph_LBL_ACHART_27" hidden="1">#REF!</definedName>
    <definedName name="_73__123Graph_LBL_ACHART_31" hidden="1">#REF!</definedName>
    <definedName name="_74__123Graph_LBL_ACHART_33" hidden="1">#REF!</definedName>
    <definedName name="_75__123Graph_LBL_ACHART_34" hidden="1">#REF!</definedName>
    <definedName name="_76__123Graph_LBL_ACHART_35" hidden="1">#REF!</definedName>
    <definedName name="_77__123Graph_LBL_ACHART_36" hidden="1">#REF!</definedName>
    <definedName name="_78__123Graph_LBL_ACHART_37" hidden="1">#REF!</definedName>
    <definedName name="_79__123Graph_LBL_ACHART_39" hidden="1">#REF!</definedName>
    <definedName name="_8__123Graph_ACHART_28" hidden="1">#REF!</definedName>
    <definedName name="_80__123Graph_LBL_ACHART_43" hidden="1">#REF!</definedName>
    <definedName name="_81__123Graph_LBL_ACHART_45" hidden="1">#REF!</definedName>
    <definedName name="_82__123Graph_LBL_BCHART_13" hidden="1">#REF!</definedName>
    <definedName name="_83__123Graph_LBL_BCHART_15" hidden="1">#REF!</definedName>
    <definedName name="_84__123Graph_LBL_BCHART_16" hidden="1">#REF!</definedName>
    <definedName name="_85__123Graph_LBL_BCHART_17" hidden="1">#REF!</definedName>
    <definedName name="_86__123Graph_LBL_BCHART_18" hidden="1">#REF!</definedName>
    <definedName name="_87__123Graph_LBL_BCHART_27" hidden="1">#REF!</definedName>
    <definedName name="_88__123Graph_LBL_BCHART_31" hidden="1">#REF!</definedName>
    <definedName name="_89__123Graph_LBL_BCHART_33" hidden="1">#REF!</definedName>
    <definedName name="_9__123Graph_ACHART_29" hidden="1">#REF!</definedName>
    <definedName name="_90__123Graph_LBL_BCHART_34" hidden="1">#REF!</definedName>
    <definedName name="_91__123Graph_LBL_BCHART_35" hidden="1">#REF!</definedName>
    <definedName name="_92__123Graph_LBL_BCHART_36" hidden="1">#REF!</definedName>
    <definedName name="_93__123Graph_LBL_BCHART_37" hidden="1">#REF!</definedName>
    <definedName name="_94__123Graph_LBL_BCHART_39" hidden="1">#REF!</definedName>
    <definedName name="_95__123Graph_LBL_BCHART_43" hidden="1">#REF!</definedName>
    <definedName name="_96__123Graph_XCHART_1" hidden="1">#REF!</definedName>
    <definedName name="_97__123Graph_XCHART_13" hidden="1">#REF!</definedName>
    <definedName name="_98__123Graph_XCHART_14" hidden="1">#REF!</definedName>
    <definedName name="_99__123Graph_XCHART_15" hidden="1">#REF!</definedName>
    <definedName name="_AUS1" hidden="1">{"february96",#N/A,FALSE,"report"}</definedName>
    <definedName name="_Dist_Values" hidden="1">#REF!</definedName>
    <definedName name="_Fill" hidden="1">#REF!</definedName>
    <definedName name="_juk7" hidden="1">#REF!</definedName>
    <definedName name="_Key1" hidden="1">#REF!</definedName>
    <definedName name="_Key2" hidden="1">#REF!</definedName>
    <definedName name="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Order1" hidden="1">0</definedName>
    <definedName name="_Order2" hidden="1">255</definedName>
    <definedName name="_PL2"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3"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4" hidden="1">{#N/A,#N/A,FALSE,"Report Data";#N/A,#N/A,FALSE,"COMP POOL";#N/A,#N/A,FALSE,"COMP POOL NB95";#N/A,#N/A,FALSE,"COMP POOL NB94"}</definedName>
    <definedName name="_PL5"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Sort" hidden="1">#REF!</definedName>
    <definedName name="_Table1_In1" hidden="1">#REF!</definedName>
    <definedName name="_Table1_Out" hidden="1">#REF!</definedName>
    <definedName name="_Table2_In1" hidden="1">#REF!</definedName>
    <definedName name="_Table2_Out" hidden="1">#REF!</definedName>
    <definedName name="_ver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a." hidden="1">{#N/A,#N/A,TRUE,"KEY DATA";#N/A,#N/A,TRUE,"KEY DATA Base Case";#N/A,#N/A,TRUE,"JULY";#N/A,#N/A,TRUE,"AUG";#N/A,#N/A,TRUE,"SEPT";#N/A,#N/A,TRUE,"3Q"}</definedName>
    <definedName name="A.." hidden="1">{#N/A,#N/A,TRUE,"KEY DATA";#N/A,#N/A,TRUE,"KEY DATA Base Case";#N/A,#N/A,TRUE,"JULY";#N/A,#N/A,TRUE,"AUG";#N/A,#N/A,TRUE,"SEPT";#N/A,#N/A,TRUE,"3Q"}</definedName>
    <definedName name="aa" hidden="1">{#N/A,#N/A,TRUE,"KEY DATA";#N/A,#N/A,TRUE,"KEY DATA Base Case";#N/A,#N/A,TRUE,"JULY";#N/A,#N/A,TRUE,"AUG";#N/A,#N/A,TRUE,"SEPT";#N/A,#N/A,TRUE,"3Q"}</definedName>
    <definedName name="aaa" hidden="1">{"november95",#N/A,FALSE,"report"}</definedName>
    <definedName name="aaa." hidden="1">{#N/A,#N/A,TRUE,"KEY DATA";#N/A,#N/A,TRUE,"KEY DATA Base Case";#N/A,#N/A,TRUE,"JULY";#N/A,#N/A,TRUE,"AUG";#N/A,#N/A,TRUE,"SEPT";#N/A,#N/A,TRUE,"3Q"}</definedName>
    <definedName name="AAAA" hidden="1">{"february96",#N/A,FALSE,"report"}</definedName>
    <definedName name="aaaaaaa" hidden="1">#REF!</definedName>
    <definedName name="aaaaaaaaaa" hidden="1">#REF!</definedName>
    <definedName name="aaaasdf" hidden="1">{#N/A,#N/A,TRUE,"GEM Total";#N/A,#N/A,TRUE,"Final Assembly";#N/A,#N/A,TRUE,"Cleaning";#N/A,#N/A,TRUE,"Schooping,Clearing";#N/A,#N/A,TRUE,"Winding"}</definedName>
    <definedName name="aabb" hidden="1">{#N/A,#N/A,FALSE,"Projections";#N/A,#N/A,FALSE,"Multiples Valuation";#N/A,#N/A,FALSE,"LBO";#N/A,#N/A,FALSE,"Multiples_Sensitivity";#N/A,#N/A,FALSE,"Summary"}</definedName>
    <definedName name="abc" hidden="1">{"all",#N/A,FALSE,"report"}</definedName>
    <definedName name="abcd" hidden="1">{"histincome",#N/A,FALSE,"hyfins";"closing balance",#N/A,FALSE,"hyfins"}</definedName>
    <definedName name="Accounts_Date" hidden="1">#REF!</definedName>
    <definedName name="AccrualsTemplate">"Button 12"</definedName>
    <definedName name="AcquirerAFTFees">[1]Schedules!#REF!</definedName>
    <definedName name="AcquirerFeeOptions">[1]Automation!#REF!</definedName>
    <definedName name="AcquirerOCTFees">[1]Schedules!#REF!</definedName>
    <definedName name="Activity">"Button 59"</definedName>
    <definedName name="Actuals" hidden="1">{"february96",#N/A,FALSE,"report"}</definedName>
    <definedName name="Actuals_2" hidden="1">{"february96",#N/A,FALSE,"report"}</definedName>
    <definedName name="Actuals_revenue_sheet" hidden="1">{"february96",#N/A,FALSE,"report"}</definedName>
    <definedName name="Actuals1" hidden="1">{"february96",#N/A,FALSE,"report"}</definedName>
    <definedName name="Actuals2" hidden="1">{"february96",#N/A,FALSE,"report"}</definedName>
    <definedName name="ad" hidden="1">{#N/A,#N/A,TRUE,"Acquirer_Cases_Input";#N/A,#N/A,TRUE,"Acquirer_Input";#N/A,#N/A,TRUE,"Acquirer"}</definedName>
    <definedName name="AddressNoticeAddress">[1]Automation!#REF!</definedName>
    <definedName name="adf" hidden="1">{"february96",#N/A,FALSE,"report"}</definedName>
    <definedName name="adfaf" hidden="1">{"histincome",#N/A,FALSE,"hyfins";"closing balance",#N/A,FALSE,"hyfins"}</definedName>
    <definedName name="AFT">'[1]Dropdown Logic'!$AM$5:$AM$13</definedName>
    <definedName name="anscount" hidden="1">4</definedName>
    <definedName name="APPROVALQUEUES" hidden="1">#REF!</definedName>
    <definedName name="ApprovalRoute">'[1]MI Database Template'!$P$9:$P$14</definedName>
    <definedName name="AS2DocOpenMode" hidden="1">"AS2DocumentEdit"</definedName>
    <definedName name="asdasd" hidden="1">{#N/A,#N/A,TRUE,"Acquirer_Cases_Input";#N/A,#N/A,TRUE,"Acquirer_Input";#N/A,#N/A,TRUE,"Acquirer"}</definedName>
    <definedName name="asdca" hidden="1">{"february96",#N/A,FALSE,"report"}</definedName>
    <definedName name="asdf" hidden="1">{#N/A,#N/A,TRUE,"KEY DATA";#N/A,#N/A,TRUE,"KEY DATA Base Case";#N/A,#N/A,TRUE,"JULY";#N/A,#N/A,TRUE,"AUG";#N/A,#N/A,TRUE,"SEPT";#N/A,#N/A,TRUE,"3Q"}</definedName>
    <definedName name="asdfasdf" hidden="1">{#N/A,#N/A,FALSE,"TS";#N/A,#N/A,FALSE,"Combo";#N/A,#N/A,FALSE,"FAIR";#N/A,#N/A,FALSE,"RBC";#N/A,#N/A,FALSE,"xxxx";#N/A,#N/A,FALSE,"A_D";#N/A,#N/A,FALSE,"WACC";#N/A,#N/A,FALSE,"DCF";#N/A,#N/A,FALSE,"LBO";#N/A,#N/A,FALSE,"AcqMults";#N/A,#N/A,FALSE,"CompMults"}</definedName>
    <definedName name="AuditChecks" hidden="1">#REF!</definedName>
    <definedName name="Aus" hidden="1">{"february96",#N/A,FALSE,"report"}</definedName>
    <definedName name="Author" hidden="1">#REF!</definedName>
    <definedName name="backup" hidden="1">{#N/A,#N/A,TRUE,"KEY DATA";#N/A,#N/A,TRUE,"KEY DATA Base Case";#N/A,#N/A,TRUE,"JULY";#N/A,#N/A,TRUE,"AUG";#N/A,#N/A,TRUE,"SEPT";#N/A,#N/A,TRUE,"3Q"}</definedName>
    <definedName name="backup." hidden="1">{#N/A,#N/A,TRUE,"KEY DATA";#N/A,#N/A,TRUE,"KEY DATA Base Case";#N/A,#N/A,TRUE,"JULY";#N/A,#N/A,TRUE,"AUG";#N/A,#N/A,TRUE,"SEPT";#N/A,#N/A,TRUE,"3Q"}</definedName>
    <definedName name="bb" hidden="1">{#N/A,#N/A,FALSE,"Consolidated Shipley";#N/A,#N/A,FALSE,"Consolidated PWB";#N/A,#N/A,FALSE,"Consolidated Micro"}</definedName>
    <definedName name="bbb" hidden="1">{#N/A,#N/A,FALSE,"Consolidated Shipley";#N/A,#N/A,FALSE,"Consolidated PWB";#N/A,#N/A,FALSE,"Consolidated Micro"}</definedName>
    <definedName name="bbbb" hidden="1">{"gross_margin1",#N/A,FALSE,"Gross Margin Detail";"gross_margin2",#N/A,FALSE,"Gross Margin Detail"}</definedName>
    <definedName name="bbbbb" hidden="1">{"historical acquirer",#N/A,FALSE,"Historical Performance";"historical target",#N/A,FALSE,"Historical Performance"}</definedName>
    <definedName name="bbbbbb" hidden="1">{#N/A,#N/A,TRUE,"Acquirer_Cases_Input";#N/A,#N/A,TRUE,"Acquirer_Input";#N/A,#N/A,TRUE,"Acquirer"}</definedName>
    <definedName name="bbbbbbb" hidden="1">{"graph",#N/A,FALSE,"WWJU";"graph",#N/A,FALSE,"WWSEM";"graph",#N/A,FALSE,"GOMJU";"graph",#N/A,FALSE,"GOMSEM";"graph",#N/A,FALSE,"NSJU";"graph",#N/A,FALSE,"NSSEM";"graph",#N/A,FALSE,"WAJU";"graph",#N/A,FALSE,"STOCKPRI";"graph",#N/A,FALSE,"CFTEV";"graph",#N/A,FALSE,"NAV-RCV";"graph",#N/A,FALSE,"CRUDEWW"}</definedName>
    <definedName name="bbc" hidden="1">{"all",#N/A,FALSE,"report"}</definedName>
    <definedName name="Bear" hidden="1">{#N/A,#N/A,FALSE,"TS";#N/A,#N/A,FALSE,"Combo";#N/A,#N/A,FALSE,"FAIR";#N/A,#N/A,FALSE,"RBC";#N/A,#N/A,FALSE,"xxxx";#N/A,#N/A,FALSE,"A_D";#N/A,#N/A,FALSE,"WACC";#N/A,#N/A,FALSE,"DCF";#N/A,#N/A,FALSE,"LBO";#N/A,#N/A,FALSE,"AcqMults";#N/A,#N/A,FALSE,"CompMults"}</definedName>
    <definedName name="bearr" hidden="1">{#N/A,#N/A,FALSE,"TS";#N/A,#N/A,FALSE,"Combo";#N/A,#N/A,FALSE,"FAIR";#N/A,#N/A,FALSE,"RBC";#N/A,#N/A,FALSE,"xxxx";#N/A,#N/A,FALSE,"A_D";#N/A,#N/A,FALSE,"WACC";#N/A,#N/A,FALSE,"DCF";#N/A,#N/A,FALSE,"LBO";#N/A,#N/A,FALSE,"AcqMults";#N/A,#N/A,FALSE,"CompMults"}</definedName>
    <definedName name="BILL"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BLPB10" hidden="1">#REF!</definedName>
    <definedName name="BLPB11" hidden="1">#REF!</definedName>
    <definedName name="BLPB6" hidden="1">#REF!</definedName>
    <definedName name="BLPB7" hidden="1">#REF!</definedName>
    <definedName name="BLPB8" hidden="1">#REF!</definedName>
    <definedName name="BLPB9" hidden="1">#REF!</definedName>
    <definedName name="BLPH1" hidden="1">#REF!</definedName>
    <definedName name="BLPH10" hidden="1">#REF!</definedName>
    <definedName name="BLPH11" hidden="1">#REF!</definedName>
    <definedName name="BLPH12" hidden="1">#REF!</definedName>
    <definedName name="BLPH13" hidden="1">#REF!</definedName>
    <definedName name="BLPH14" hidden="1">#REF!</definedName>
    <definedName name="BLPH15" hidden="1">#REF!</definedName>
    <definedName name="BLPH16" hidden="1">#REF!</definedName>
    <definedName name="BLPH17" hidden="1">#REF!</definedName>
    <definedName name="BLPH18" hidden="1">#REF!</definedName>
    <definedName name="BLPH19" hidden="1">#REF!</definedName>
    <definedName name="BLPH2" hidden="1">#REF!</definedName>
    <definedName name="BLPH20" hidden="1">#REF!</definedName>
    <definedName name="BLPH200001" hidden="1">#REF!</definedName>
    <definedName name="BLPH3" hidden="1">#REF!</definedName>
    <definedName name="BLPH4" hidden="1">#REF!</definedName>
    <definedName name="BLPH5" hidden="1">#REF!</definedName>
    <definedName name="BLPH6" hidden="1">#REF!</definedName>
    <definedName name="BLPH7" hidden="1">#REF!</definedName>
    <definedName name="BLPH8" hidden="1">#REF!</definedName>
    <definedName name="BLPH9" hidden="1">#REF!</definedName>
    <definedName name="BNE_MESSAGES_HIDDEN" hidden="1">#REF!</definedName>
    <definedName name="bud" hidden="1">{"november95",#N/A,FALSE,"report"}</definedName>
    <definedName name="BUDGET" hidden="1">{"february96",#N/A,FALSE,"report"}</definedName>
    <definedName name="CanadaFcstIII" hidden="1">{"may96",#N/A,FALSE,"report"}</definedName>
    <definedName name="CBWorkbookPriority" hidden="1">-2142391462</definedName>
    <definedName name="cc"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ccc" hidden="1">{"cred comp",#N/A,FALSE,"Comparable Credit Analysis";"IS",#N/A,FALSE,"IS";"Sensitivity",#N/A,FALSE,"Sensitivity";"BS",#N/A,FALSE,"BS";"Bond Summary",#N/A,FALSE,"B Summary";"AD",#N/A,FALSE,"Accretion";"NAV",#N/A,FALSE,"NAV";"SU",#N/A,FALSE,"S&amp;U";"acq. study",#N/A,FALSE,"Acq. Study";"F Charges",#N/A,FALSE,"Fixed Charges"}</definedName>
    <definedName name="cccc" hidden="1">{#N/A,#N/A,FALSE,"SUM";#N/A,#N/A,FALSE,"Holding Cost ";#N/A,#N/A,FALSE,"2000 &amp; C3D";#N/A,#N/A,FALSE,"Disposal Costs";#N/A,#N/A,FALSE,"WIP";#N/A,#N/A,FALSE,"Fin Goods"}</definedName>
    <definedName name="ccccc" hidden="1">{"revenue detail 1",#N/A,FALSE,"Revenue Detail";"revenue detail 2",#N/A,FALSE,"Revenue Detail";"revenue detail 3",#N/A,FALSE,"Revenue Detail";"revenue detail 4",#N/A,FALSE,"Revenue Detail"}</definedName>
    <definedName name="cccccc" hidden="1">{#N/A,#N/A,TRUE,"Falcons_Standalone";#N/A,#N/A,TRUE,"Target_Input";#N/A,#N/A,TRUE,"Target_Calendarized"}</definedName>
    <definedName name="ccccccc" hidden="1">{"revenue graph",#N/A,FALSE,"Revenue Graph"}</definedName>
    <definedName name="cccccccc" hidden="1">{"Total",#N/A,FALSE,"Six Fields";"PDP",#N/A,FALSE,"Six Fields";"PNP",#N/A,FALSE,"Six Fields";"PUD",#N/A,FALSE,"Six Fields";"Prob",#N/A,FALSE,"Six Fields"}</definedName>
    <definedName name="ccccccccc" hidden="1">{"Sum1",#N/A,FALSE,"Reserve Report";"Sum2",#N/A,FALSE,"Reserve Report";"Sum3",#N/A,FALSE,"Reserve Report";"Sum4",#N/A,FALSE,"Reserve Report"}</definedName>
    <definedName name="COGNOS" hidden="1">#REF!</definedName>
    <definedName name="ComboLink" hidden="1">#REF!</definedName>
    <definedName name="ComboList" hidden="1">#REF!</definedName>
    <definedName name="ComboStart" hidden="1">#REF!</definedName>
    <definedName name="Company" hidden="1">#REF!</definedName>
    <definedName name="Contact" hidden="1">#REF!</definedName>
    <definedName name="Control" hidden="1">{"'quarterly'!$A$1:$H$60"}</definedName>
    <definedName name="d" hidden="1">{"february96",#N/A,FALSE,"report"}</definedName>
    <definedName name="dcDaysInWeek">7</definedName>
    <definedName name="dcDaysInYear">365</definedName>
    <definedName name="dcMthsInQtr">3</definedName>
    <definedName name="dcMthsInYear">12</definedName>
    <definedName name="dcQtrsInYear">4</definedName>
    <definedName name="dcWeeksInYear">52</definedName>
    <definedName name="dd" hidden="1">{#N/A,#N/A,FALSE,"AD_Purch";#N/A,#N/A,FALSE,"Projections";#N/A,#N/A,FALSE,"DCF";#N/A,#N/A,FALSE,"Mkt Val"}</definedName>
    <definedName name="ddd" hidden="1">{"february96",#N/A,FALSE,"report"}</definedName>
    <definedName name="dddd" hidden="1">{"may96",#N/A,FALSE,"report"}</definedName>
    <definedName name="def" hidden="1">{"april96",#N/A,FALSE,"report"}</definedName>
    <definedName name="DetailedOpenPurchaseOrderListing">"Button 11"</definedName>
    <definedName name="DetailedTransactionListings">"Button 9"</definedName>
    <definedName name="dfdfdfd" hidden="1">{#N/A,#N/A,FALSE,"AD_Purchase";#N/A,#N/A,FALSE,"Credit";#N/A,#N/A,FALSE,"PF Acquisition";#N/A,#N/A,FALSE,"PF Offering"}</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MthsInYear">12</definedName>
    <definedName name="doh" hidden="1">{#N/A,#N/A,FALSE,"TS";#N/A,#N/A,FALSE,"Combo";#N/A,#N/A,FALSE,"FAIR";#N/A,#N/A,FALSE,"RBC";#N/A,#N/A,FALSE,"xxxx";#N/A,#N/A,FALSE,"A_D";#N/A,#N/A,FALSE,"WACC";#N/A,#N/A,FALSE,"DCF";#N/A,#N/A,FALSE,"LBO";#N/A,#N/A,FALSE,"AcqMults";#N/A,#N/A,FALSE,"CompMults"}</definedName>
    <definedName name="dzfsdf" hidden="1">{#N/A,#N/A,TRUE,"FOC_Product_Assumptions"}</definedName>
    <definedName name="e" hidden="1">{"may96",#N/A,FALSE,"report"}</definedName>
    <definedName name="ENABLINGSUPPORT" hidden="1">#REF!</definedName>
    <definedName name="et" hidden="1">{"may96",#N/A,FALSE,"report"}</definedName>
    <definedName name="extr" hidden="1">{"P&amp;L",#N/A,TRUE,"HC";"P&amp;L Percents",#N/A,TRUE,"P&amp;L";"M&amp;A3 P&amp;L",#N/A,TRUE,"HC";"M&amp;A3 Pipeline",#N/A,TRUE,"HC";"Franchises",#N/A,TRUE,"HC";"CF&amp;BS",#N/A,TRUE,"HC"}</definedName>
    <definedName name="extr1" hidden="1">{"P&amp;L",#N/A,TRUE,"HC";"P&amp;L Percents",#N/A,TRUE,"P&amp;L";"M&amp;A3 P&amp;L",#N/A,TRUE,"HC";"M&amp;A3 Pipeline",#N/A,TRUE,"HC";"Franchises",#N/A,TRUE,"HC";"CF&amp;BS",#N/A,TRUE,"HC"}</definedName>
    <definedName name="f"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FastTrack">[1]Automation!#REF!</definedName>
    <definedName name="Fax" hidden="1">#REF!</definedName>
    <definedName name="fghf" hidden="1">#REF!</definedName>
    <definedName name="FileName" hidden="1">#REF!</definedName>
    <definedName name="FIRSTCHARGEBACK" hidden="1">#REF!</definedName>
    <definedName name="FRAUD" hidden="1">#REF!</definedName>
    <definedName name="fsdsfafd" hidden="1">{"CSheet",#N/A,FALSE,"C";"SmCap",#N/A,FALSE,"VAL1";"GulfCoast",#N/A,FALSE,"VAL1";"nav",#N/A,FALSE,"NAV";"Summary",#N/A,FALSE,"NAV"}</definedName>
    <definedName name="g" hidden="1">{#N/A,#N/A,FALSE,"ww";#N/A,#N/A,FALSE,"usa";#N/A,#N/A,FALSE,"canada";#N/A,#N/A,FALSE,"eu";#N/A,#N/A,FALSE,"cemea";#N/A,#N/A,FALSE,"asia";#N/A,#N/A,FALSE,"la"}</definedName>
    <definedName name="ggtfr" hidden="1">{#N/A,#N/A,FALSE,"ACQ_GRAPHS";#N/A,#N/A,FALSE,"T_1 GRAPHS";#N/A,#N/A,FALSE,"T_2 GRAPHS";#N/A,#N/A,FALSE,"COMB_GRAPHS"}</definedName>
    <definedName name="gooch" hidden="1">{#N/A,#N/A,FALSE,"Projections";#N/A,#N/A,FALSE,"Multiples Valuation";#N/A,#N/A,FALSE,"LBO";#N/A,#N/A,FALSE,"Multiples_Sensitivity";#N/A,#N/A,FALSE,"Summary"}</definedName>
    <definedName name="GraphCumulativeSpend">"Button 5"</definedName>
    <definedName name="GraphPhasedSpend">"Button 3"</definedName>
    <definedName name="GraphYTDSpendByCategory">"Button 6"</definedName>
    <definedName name="gy" hidden="1">#REF!</definedName>
    <definedName name="h" hidden="1">{"february96",#N/A,FALSE,"report"}</definedName>
    <definedName name="HeadlineCategory">"Button 2"</definedName>
    <definedName name="HH" hidden="1">{"february96",#N/A,FALSE,"report"}</definedName>
    <definedName name="hhhh"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hod" hidden="1">{#N/A,#N/A,FALSE,"TS";#N/A,#N/A,FALSE,"Combo";#N/A,#N/A,FALSE,"FAIR";#N/A,#N/A,FALSE,"RBC";#N/A,#N/A,FALSE,"xxxx";#N/A,#N/A,FALSE,"A_D";#N/A,#N/A,FALSE,"WACC";#N/A,#N/A,FALSE,"DCF";#N/A,#N/A,FALSE,"LBO";#N/A,#N/A,FALSE,"AcqMults";#N/A,#N/A,FALSE,"CompMults"}</definedName>
    <definedName name="houy" hidden="1">{#N/A,#N/A,FALSE,"AD_Purchase";#N/A,#N/A,FALSE,"Credit";#N/A,#N/A,FALSE,"PF Acquisition";#N/A,#N/A,FALSE,"PF Offering"}</definedName>
    <definedName name="HTML_CodePage" hidden="1">1252</definedName>
    <definedName name="HTML_Control" hidden="1">{"'quarterly'!$A$1:$H$60"}</definedName>
    <definedName name="HTML_Description" hidden="1">""</definedName>
    <definedName name="HTML_Email" hidden="1">""</definedName>
    <definedName name="HTML_Header" hidden="1">"Quarterly Uptime Q2 2001"</definedName>
    <definedName name="HTML_LastUpdate" hidden="1">"7/3/01"</definedName>
    <definedName name="HTML_LineAfter" hidden="1">FALSE</definedName>
    <definedName name="HTML_LineBefore" hidden="1">FALSE</definedName>
    <definedName name="HTML_Name" hidden="1">"Kerin Burns"</definedName>
    <definedName name="HTML_OBDlg2" hidden="1">TRUE</definedName>
    <definedName name="HTML_OBDlg4" hidden="1">TRUE</definedName>
    <definedName name="HTML_OS" hidden="1">0</definedName>
    <definedName name="HTML_PathFile" hidden="1">"C:\WINNT\Profiles\kburns\Desktop\Kerin's Documents\QuarterlyUptimeQ22001.html"</definedName>
    <definedName name="HTML_Title" hidden="1">"Quarterly Uptime Q2 2001"</definedName>
    <definedName name="HTML1_1" hidden="1">"[Vdpsdly.xls]Monthly!$A$1:$F$23"</definedName>
    <definedName name="HTML1_10" hidden="1">"mclemens@visa.com"</definedName>
    <definedName name="HTML1_11" hidden="1">1</definedName>
    <definedName name="HTML1_12" hidden="1">"C:\Data\DPS\DPSStats\MyHTML.htm"</definedName>
    <definedName name="HTML1_2" hidden="1">1</definedName>
    <definedName name="HTML1_3" hidden="1">"Monthly DPS Statistics"</definedName>
    <definedName name="HTML1_4" hidden="1">"Monthly DPS Statistics"</definedName>
    <definedName name="HTML1_5" hidden="1">""</definedName>
    <definedName name="HTML1_6" hidden="1">1</definedName>
    <definedName name="HTML1_7" hidden="1">1</definedName>
    <definedName name="HTML1_8" hidden="1">"5/4/97"</definedName>
    <definedName name="HTML1_9" hidden="1">"Mike Clemens"</definedName>
    <definedName name="HTML2_1" hidden="1">"'[QSP971#.XLS]WWCARDS pg1 971'!$O$5:$Q$24"</definedName>
    <definedName name="HTML2_10" hidden="1">""</definedName>
    <definedName name="HTML2_11" hidden="1">1</definedName>
    <definedName name="HTML2_12" hidden="1">"H:\PLANNING\MIS\MIS - Regular Reports\Intranet\Worldwide.htm"</definedName>
    <definedName name="HTML2_2" hidden="1">1</definedName>
    <definedName name="HTML2_3" hidden="1">"Visa CEMEA"</definedName>
    <definedName name="HTML2_4" hidden="1">"Worldwide Results"</definedName>
    <definedName name="HTML2_5" hidden="1">"Year End March 1997"</definedName>
    <definedName name="HTML2_6" hidden="1">1</definedName>
    <definedName name="HTML2_7" hidden="1">1</definedName>
    <definedName name="HTML2_8" hidden="1">"07/07/97"</definedName>
    <definedName name="HTML2_9" hidden="1">"Alberto Pagliano Ext (8560)"</definedName>
    <definedName name="HTML3_1" hidden="1">"'[QSP971#.XLS]Cemea Bar Cards pg2 971'!$A$19:$I$25"</definedName>
    <definedName name="HTML3_10" hidden="1">""</definedName>
    <definedName name="HTML3_11" hidden="1">1</definedName>
    <definedName name="HTML3_12" hidden="1">"H:\PLANNING\MIS\MIS - Regular Reports\Intranet\Visa CEMEA Cards.htm"</definedName>
    <definedName name="HTML3_2" hidden="1">1</definedName>
    <definedName name="HTML3_3" hidden="1">"Visa CEMEA"</definedName>
    <definedName name="HTML3_4" hidden="1">"Number of Cards"</definedName>
    <definedName name="HTML3_5" hidden="1">"Year End March 1997"</definedName>
    <definedName name="HTML3_6" hidden="1">-4146</definedName>
    <definedName name="HTML3_7" hidden="1">1</definedName>
    <definedName name="HTML3_8" hidden="1">"07/07/97"</definedName>
    <definedName name="HTML3_9" hidden="1">"Alberto Pagliano (Ext 8560)"</definedName>
    <definedName name="HTMLCount" hidden="1">1</definedName>
    <definedName name="Incentive_Options">'P&amp;L'!$E$108:$E$113</definedName>
    <definedName name="INDIAVOLUME" hidden="1">#REF!</definedName>
    <definedName name="io" hidden="1">{"summary1",#N/A,FALSE,"Summary of Values";"weighted average returns",#N/A,FALSE,"WACC and WARA";"revenue graph",#N/A,FALSE,"Revenue Graph";"historical acquirer",#N/A,FALSE,"Historical Performance";"historical target",#N/A,FALSE,"Historical Performance";"revenue detail 1",#N/A,FALSE,"Revenue Detail";"revenue detail 2",#N/A,FALSE,"Revenue Detail";"revenue detail 3",#N/A,FALSE,"Revenue Detail";"revenue detail 4",#N/A,FALSE,"Revenue Detail";"gross_margin1",#N/A,FALSE,"Gross Margin Detail";"gross_margin2",#N/A,FALSE,"Gross Margin Detail";"developed income statement",#N/A,FALSE,"Abbreviated Income Statement";"inprocess income statement",#N/A,FALSE,"Abbreviated Income Statement";"developed valuation",#N/A,FALSE,"Valuation Analysis";"inprocess valuation",#N/A,FALSE,"Valuation Analysis";"trademark1",#N/A,FALSE,"Trademark(s) and Trade Name(s)";"contributory1",#N/A,FALSE,"Contributory Assets Detail";"contributory2",#N/A,FALSE,"Contributory Assets Detail";"fixed asset detail",#N/A,FALSE,"Fixed Asset Detail"}</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ONDRATING_FITCH" hidden="1">"IQ_BONDRATING_FITCH"</definedName>
    <definedName name="IQ_BONDRATING_FITCH_DATE" hidden="1">"c241"</definedName>
    <definedName name="IQ_BONDRATING_MOODYS" hidden="1">"IQ_BONDRATING_MOODYS"</definedName>
    <definedName name="IQ_BONDRATING_SP" hidden="1">"IQ_BONDRATING_SP"</definedName>
    <definedName name="IQ_BONDRATING_SP_DATE" hidden="1">"c242"</definedName>
    <definedName name="IQ_BOOK_VALUE" hidden="1">"IQ_BOOK_VALUE"</definedName>
    <definedName name="IQ_BROK_COMISSION" hidden="1">"c98"</definedName>
    <definedName name="IQ_BROK_COMMISSION" hidden="1">"c3514"</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DEBT" hidden="1">"c224"</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 hidden="1">"c231"</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K" hidden="1">"IQ_EBIT_10K"</definedName>
    <definedName name="IQ_EBIT_10Q" hidden="1">"IQ_EBIT_10Q"</definedName>
    <definedName name="IQ_EBIT_10Q1" hidden="1">"IQ_EBIT_10Q1"</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EQ_INC" hidden="1">"c3498"</definedName>
    <definedName name="IQ_EBIT_EQ_INC_EXCL_SBC" hidden="1">"c3502"</definedName>
    <definedName name="IQ_EBIT_EXCL_SBC" hidden="1">"c3082"</definedName>
    <definedName name="IQ_EBIT_GROWTH_1" hidden="1">"IQ_EBIT_GROWTH_1"</definedName>
    <definedName name="IQ_EBIT_GROWTH_2" hidden="1">"IQ_EBIT_GROWTH_2"</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XCL_SBC" hidden="1">"c3081"</definedName>
    <definedName name="IQ_EBITDA_GROWTH_1" hidden="1">"IQ_EBITDA_GROWTH_1"</definedName>
    <definedName name="IQ_EBITDA_GROWTH_2" hidden="1">"IQ_EBITDA_GROWTH_2"</definedName>
    <definedName name="IQ_EBITDA_HIGH_EST" hidden="1">"c370"</definedName>
    <definedName name="IQ_EBITDA_INT" hidden="1">"c373"</definedName>
    <definedName name="IQ_EBITDA_LOW_EST" hidden="1">"c371"</definedName>
    <definedName name="IQ_EBITDA_MARGIN" hidden="1">"c372"</definedName>
    <definedName name="IQ_EBITDA_NO_EST" hidden="1">"c267"</definedName>
    <definedName name="IQ_EBITDA_NUM_EST" hidden="1">"c374"</definedName>
    <definedName name="IQ_EBITDA_OVER_TOTAL_IE" hidden="1">"c1371"</definedName>
    <definedName name="IQ_EBITDA_STDDEV_EST" hidden="1">"c375"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K" hidden="1">"IQ_EPS_10K"</definedName>
    <definedName name="IQ_EPS_10Q" hidden="1">"IQ_EPS_10Q"</definedName>
    <definedName name="IQ_EPS_10Q1" hidden="1">"IQ_EPS_10Q1"</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EST_1" hidden="1">"IQ_EPS_EST_1"</definedName>
    <definedName name="IQ_EPS_HIGH_EST" hidden="1">"c400"</definedName>
    <definedName name="IQ_EPS_LOW_EST" hidden="1">"c401"</definedName>
    <definedName name="IQ_EPS_MEDIAN_EST" hidden="1">"c1661"</definedName>
    <definedName name="IQ_EPS_NO_EST" hidden="1">"c271"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SURPRISE" hidden="1">"c1635"</definedName>
    <definedName name="IQ_EST_REV_GROWTH_1YR" hidden="1">"c1638"</definedName>
    <definedName name="IQ_EST_REV_GROWTH_2YR" hidden="1">"c1639"</definedName>
    <definedName name="IQ_EST_REV_GROWTH_Q_1YR" hidden="1">"c1640"</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"IQ_EV_OVER_REVENUE_EST"</definedName>
    <definedName name="IQ_EV_OVER_REVENUE_EST_1" hidden="1">"IQ_EV_OVER_REVENUE_EST_1"</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EST" hidden="1">"c418"</definedName>
    <definedName name="IQ_FFO_HIGH_EST" hidden="1">"c419"</definedName>
    <definedName name="IQ_FFO_LOW_EST" hidden="1">"c420"</definedName>
    <definedName name="IQ_FFO_NO_EST" hidden="1">"c276"</definedName>
    <definedName name="IQ_FFO_NUM_EST" hidden="1">"c421"</definedName>
    <definedName name="IQ_FFO_PAYOUT_RATIO" hidden="1">"c3492"</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C_BNK" hidden="1">"c488"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GW" hidden="1">"c519"</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"50"</definedName>
    <definedName name="IQ_LATESTQ" hidden="1">500</definedName>
    <definedName name="IQ_LATESTQFR" hidden="1">"100"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RKTCAP" hidden="1">"c258"</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41645.7447569444</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"IQ_NET_INC_GROWTH_1"</definedName>
    <definedName name="IQ_NET_INC_GROWTH_2" hidden="1">"IQ_NET_INC_GROWTH_2"</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ICE_OVER_BVPS" hidden="1">"c1412"</definedName>
    <definedName name="IQ_PRICE_OVER_EPS_EST" hidden="1">"IQ_PRICE_OVER_EPS_EST"</definedName>
    <definedName name="IQ_PRICE_OVER_EPS_EST_1" hidden="1">"IQ_PRICE_OVER_EPS_EST_1"</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EST" hidden="1">"c1126"</definedName>
    <definedName name="IQ_REVENUE_EST_1" hidden="1">"IQ_REVENUE_EST_1"</definedName>
    <definedName name="IQ_REVENUE_GROWTH_1" hidden="1">"IQ_REVENUE_GROWTH_1"</definedName>
    <definedName name="IQ_REVENUE_GROWTH_2" hidden="1">"IQ_REVENUE_GROWTH_2"</definedName>
    <definedName name="IQ_REVENUE_HIGH_EST" hidden="1">"c1127"</definedName>
    <definedName name="IQ_REVENUE_LOW_EST" hidden="1">"c1128"</definedName>
    <definedName name="IQ_REVENUE_NO_EST" hidden="1">"c263"</definedName>
    <definedName name="IQ_REVENUE_NUM_EST" hidden="1">"c1129"</definedName>
    <definedName name="IQ_REVISION_DATE_" hidden="1">39305.5031597222</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j" hidden="1">{"summary1",#N/A,FALSE,"Summary of Values";"summary2",#N/A,FALSE,"Summary of Values"}</definedName>
    <definedName name="JIVAEXCEPTIONS" hidden="1">#REF!</definedName>
    <definedName name="jj" hidden="1">{"developed valuation",#N/A,FALSE,"Valuation Analysis";"developed income statement",#N/A,FALSE,"Abbreviated Income Statement";"inprocess valuation",#N/A,FALSE,"Valuation Analysis";"inprocess income statement",#N/A,FALSE,"Abbreviated Income Statement"}</definedName>
    <definedName name="jjj" hidden="1">{"CSheet",#N/A,FALSE,"C";"SmCap",#N/A,FALSE,"VAL1";"GulfCoast",#N/A,FALSE,"VAL1";"nav",#N/A,FALSE,"NAV";"Summary",#N/A,FALSE,"NAV"}</definedName>
    <definedName name="jjjj" hidden="1">{"Total",#N/A,FALSE,"Total Proved";"PDP",#N/A,FALSE,"Total Proved";"PNP",#N/A,FALSE,"Total Proved";"PUD",#N/A,FALSE,"Total Proved"}</definedName>
    <definedName name="jjjjj" hidden="1">{"Total",#N/A,FALSE,"Total Proved + Probable";"PDP",#N/A,FALSE,"Total Proved + Probable";"PNP",#N/A,FALSE,"Total Proved + Probable";"PUD",#N/A,FALSE,"Total Proved + Probable";"Prob",#N/A,FALSE,"Total Proved + Probable"}</definedName>
    <definedName name="jjjjjj" hidden="1">{"trademark1",#N/A,FALSE,"Trademark(s) and Trade Name(s)"}</definedName>
    <definedName name="jjjjjjj" hidden="1">{"histincome",#N/A,FALSE,"hyfins";"closing balance",#N/A,FALSE,"hyfins"}</definedName>
    <definedName name="jk" hidden="1">{"may96",#N/A,FALSE,"report"}</definedName>
    <definedName name="junk" hidden="1">#REF!</definedName>
    <definedName name="junk10" hidden="1">#REF!</definedName>
    <definedName name="junk11" hidden="1">#REF!</definedName>
    <definedName name="junk12" hidden="1">#REF!</definedName>
    <definedName name="junk13" hidden="1">#REF!</definedName>
    <definedName name="junk14" hidden="1">#REF!</definedName>
    <definedName name="junk15" hidden="1">#REF!</definedName>
    <definedName name="junk16" hidden="1">#REF!</definedName>
    <definedName name="junk2" hidden="1">#REF!</definedName>
    <definedName name="junk3" hidden="1">#REF!</definedName>
    <definedName name="junk4" hidden="1">#REF!</definedName>
    <definedName name="junk6" hidden="1">#REF!</definedName>
    <definedName name="junk8" hidden="1">#REF!</definedName>
    <definedName name="junk9" hidden="1">#REF!</definedName>
    <definedName name="jyt" hidden="1">{"may96",#N/A,FALSE,"report"}</definedName>
    <definedName name="k" hidden="1">{"Total",#N/A,FALSE,"Six Fields";"PDP",#N/A,FALSE,"Six Fields";"PNP",#N/A,FALSE,"Six Fields";"PUD",#N/A,FALSE,"Six Fields";"Prob",#N/A,FALSE,"Six Fields"}</definedName>
    <definedName name="kas" hidden="1">{"may96",#N/A,FALSE,"report"}</definedName>
    <definedName name="kk" hidden="1">{"Sum1",#N/A,FALSE,"Reserve Report";"Sum2",#N/A,FALSE,"Reserve Report";"Sum3",#N/A,FALSE,"Reserve Report";"Sum4",#N/A,FALSE,"Reserve Report"}</definedName>
    <definedName name="kkkkk" hidden="1">{#N/A,#N/A,FALSE,"Report Data";#N/A,#N/A,FALSE,"COMP POOL";#N/A,#N/A,FALSE,"COMP POOL NB95";#N/A,#N/A,FALSE,"COMP POOL NB94"}</definedName>
    <definedName name="kl" hidden="1">{#N/A,#N/A,FALSE,"ww";#N/A,#N/A,FALSE,"usa";#N/A,#N/A,FALSE,"canada";#N/A,#N/A,FALSE,"eu";#N/A,#N/A,FALSE,"cemea";#N/A,#N/A,FALSE,"asia";#N/A,#N/A,FALSE,"la"}</definedName>
    <definedName name="klkdla" hidden="1">#REF!</definedName>
    <definedName name="l" hidden="1">{"february96",#N/A,FALSE,"report"}</definedName>
    <definedName name="Last_Row">#N/A</definedName>
    <definedName name="lili" hidden="1">{"february96",#N/A,FALSE,"report"}</definedName>
    <definedName name="limcount" hidden="1">2</definedName>
    <definedName name="ListOffset" hidden="1">2</definedName>
    <definedName name="liu" hidden="1">{"november95",#N/A,FALSE,"report"}</definedName>
    <definedName name="ll" hidden="1">{"graph",#N/A,FALSE,"WWJU";"graph",#N/A,FALSE,"WWSEM";"graph",#N/A,FALSE,"GOMJU";"graph",#N/A,FALSE,"GOMSEM";"graph",#N/A,FALSE,"NSJU";"graph",#N/A,FALSE,"NSSEM";"graph",#N/A,FALSE,"WAJU";"graph",#N/A,FALSE,"STOCKPRI";"graph",#N/A,FALSE,"CFTEV";"graph",#N/A,FALSE,"NAV-RCV";"graph",#N/A,FALSE,"CRUDEWW"}</definedName>
    <definedName name="lll"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llll" hidden="1">{"cred comp",#N/A,FALSE,"Comparable Credit Analysis";"IS",#N/A,FALSE,"IS";"Sensitivity",#N/A,FALSE,"Sensitivity";"BS",#N/A,FALSE,"BS";"Bond Summary",#N/A,FALSE,"B Summary";"AD",#N/A,FALSE,"Accretion";"NAV",#N/A,FALSE,"NAV";"SU",#N/A,FALSE,"S&amp;U";"acq. study",#N/A,FALSE,"Acq. Study";"F Charges",#N/A,FALSE,"Fixed Charges"}</definedName>
    <definedName name="lllll" hidden="1">{#N/A,#N/A,FALSE,"SUM";#N/A,#N/A,FALSE,"Holding Cost ";#N/A,#N/A,FALSE,"2000 &amp; C3D";#N/A,#N/A,FALSE,"Disposal Costs";#N/A,#N/A,FALSE,"WIP";#N/A,#N/A,FALSE,"Fin Goods"}</definedName>
    <definedName name="llllll" hidden="1">{"revenue detail 1",#N/A,FALSE,"Revenue Detail";"revenue detail 2",#N/A,FALSE,"Revenue Detail";"revenue detail 3",#N/A,FALSE,"Revenue Detail";"revenue detail 4",#N/A,FALSE,"Revenue Detail"}</definedName>
    <definedName name="lllllll" hidden="1">{"revenue graph",#N/A,FALSE,"Revenue Graph"}</definedName>
    <definedName name="LOSSES" hidden="1">#REF!</definedName>
    <definedName name="March"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marco" hidden="1">{"may96",#N/A,FALSE,"report"}</definedName>
    <definedName name="mark"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mm" hidden="1">{"ReportTop",#N/A,FALSE,"report top"}</definedName>
    <definedName name="mmm" hidden="1">{"documentation1",#N/A,FALSE,"Documentation";"documentation2",#N/A,FALSE,"Documentation"}</definedName>
    <definedName name="mmmm" hidden="1">{"summary1",#N/A,FALSE,"Summary of Values";"weighted average returns",#N/A,FALSE,"WACC and WARA";"revenue graph",#N/A,FALSE,"Revenue Graph";"historical acquirer",#N/A,FALSE,"Historical Performance";"historical target",#N/A,FALSE,"Historical Performance";"revenue detail 1",#N/A,FALSE,"Revenue Detail";"revenue detail 2",#N/A,FALSE,"Revenue Detail";"revenue detail 3",#N/A,FALSE,"Revenue Detail";"revenue detail 4",#N/A,FALSE,"Revenue Detail";"gross_margin1",#N/A,FALSE,"Gross Margin Detail";"gross_margin2",#N/A,FALSE,"Gross Margin Detail";"developed income statement",#N/A,FALSE,"Abbreviated Income Statement";"inprocess income statement",#N/A,FALSE,"Abbreviated Income Statement";"developed valuation",#N/A,FALSE,"Valuation Analysis";"inprocess valuation",#N/A,FALSE,"Valuation Analysis";"trademark1",#N/A,FALSE,"Trademark(s) and Trade Name(s)";"contributory1",#N/A,FALSE,"Contributory Assets Detail";"contributory2",#N/A,FALSE,"Contributory Assets Detail";"fixed asset detail",#N/A,FALSE,"Fixed Asset Detail"}</definedName>
    <definedName name="mmmmm" hidden="1">{#N/A,#N/A,TRUE,"Fiber_Optic_Cable_Input ";#N/A,#N/A,TRUE,"Specialty_Fiber_Devices_Input";#N/A,#N/A,TRUE,"Optical_Fiber_Apparatus_Input"}</definedName>
    <definedName name="mmmmmm" hidden="1">{#N/A,#N/A,TRUE,"Falcons_Standalone";#N/A,#N/A,TRUE,"Target_Input";#N/A,#N/A,TRUE,"Target_Calendarized"}</definedName>
    <definedName name="mmmmmmm" hidden="1">{#N/A,#N/A,TRUE,"FOC_Product_Assumptions"}</definedName>
    <definedName name="mmmmmmmm" hidden="1">{#N/A,#N/A,FALSE,"Consolidated Shipley";#N/A,#N/A,FALSE,"Consolidated PWB";#N/A,#N/A,FALSE,"Consolidated Micro"}</definedName>
    <definedName name="mo" hidden="1">{#N/A,#N/A,TRUE,"KEY DATA";#N/A,#N/A,TRUE,"KEY DATA Base Case";#N/A,#N/A,TRUE,"JULY";#N/A,#N/A,TRUE,"AUG";#N/A,#N/A,TRUE,"SEPT";#N/A,#N/A,TRUE,"3Q"}</definedName>
    <definedName name="Model">'[2]1b) Forecast Inputs '!$C$4</definedName>
    <definedName name="modelversion" hidden="1">"v1.7"</definedName>
    <definedName name="n" hidden="1">{#N/A,#N/A,FALSE,"Consolidated Shipley";#N/A,#N/A,FALSE,"Consolidated PWB";#N/A,#N/A,FALSE,"Consolidated Micro"}</definedName>
    <definedName name="n\" hidden="1">{#N/A,#N/A,FALSE,"Projections";#N/A,#N/A,FALSE,"Multiples Valuation";#N/A,#N/A,FALSE,"LBO";#N/A,#N/A,FALSE,"Multiples_Sensitivity";#N/A,#N/A,FALSE,"Summary"}</definedName>
    <definedName name="NN" hidden="1">{"revenue detail 1",#N/A,FALSE,"Revenue Detail";"revenue detail 2",#N/A,FALSE,"Revenue Detail";"revenue detail 3",#N/A,FALSE,"Revenue Detail";"revenue detail 4",#N/A,FALSE,"Revenue Detail"}</definedName>
    <definedName name="nnff" hidden="1">{#N/A,#N/A,FALSE,"ww";#N/A,#N/A,FALSE,"usa";#N/A,#N/A,FALSE,"canada";#N/A,#N/A,FALSE,"eu";#N/A,#N/A,FALSE,"cemea";#N/A,#N/A,FALSE,"asia";#N/A,#N/A,FALSE,"la"}</definedName>
    <definedName name="nnn" hidden="1">{#N/A,#N/A,FALSE,"Consolidated Shipley";#N/A,#N/A,FALSE,"Consolidated PWB";#N/A,#N/A,FALSE,"Consolidated Micro"}</definedName>
    <definedName name="nnnn" hidden="1">{#N/A,#N/A,FALSE,"Consolidated Shipley";#N/A,#N/A,FALSE,"Consolidated PWB";#N/A,#N/A,FALSE,"Consolidated Micro"}</definedName>
    <definedName name="nnnnn" hidden="1">{"february96",#N/A,FALSE,"report"}</definedName>
    <definedName name="nnnnnn" hidden="1">{"historical acquirer",#N/A,FALSE,"Historical Performance";"historical target",#N/A,FALSE,"Historical Performance"}</definedName>
    <definedName name="NoticeAddress">[1]Automation!#REF!</definedName>
    <definedName name="Number_of_Payments">#N/A</definedName>
    <definedName name="o" hidden="1">{#N/A,#N/A,FALSE,"New Depr Sch-150% DB";#N/A,#N/A,FALSE,"Cash Flows RLP";#N/A,#N/A,FALSE,"IRR";#N/A,#N/A,FALSE,"Proforma IS";#N/A,#N/A,FALSE,"Assumptions"}</definedName>
    <definedName name="Objective" hidden="1">#REF!</definedName>
    <definedName name="OCT">'[1]Dropdown Logic'!$AN$5:$AN$21</definedName>
    <definedName name="ok" hidden="1">#REF!</definedName>
    <definedName name="OtherVolume" hidden="1">#REF!</definedName>
    <definedName name="OUTOFPOLICY" hidden="1">#REF!</definedName>
    <definedName name="p" hidden="1">{"february96",#N/A,FALSE,"report"}</definedName>
    <definedName name="Payment_Date">#N/A</definedName>
    <definedName name="pdpdpd"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Phased">"Button 61"</definedName>
    <definedName name="PhasedReportsActByAccount">"Button 8"</definedName>
    <definedName name="PIPELINE" hidden="1">#REF!</definedName>
    <definedName name="PL"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xlnm.Print_Area" localSheetId="0">Intro!$B$2:$O$23</definedName>
    <definedName name="_xlnm.Print_Area" localSheetId="1">'P&amp;L'!$E$1:$R$91</definedName>
    <definedName name="Print_Area_Reset">#N/A</definedName>
    <definedName name="Product" hidden="1">#REF!</definedName>
    <definedName name="PRODUCTIVITY" hidden="1">#REF!</definedName>
    <definedName name="PUB_FileID" hidden="1">"L10003787.xls"</definedName>
    <definedName name="PUB_UserID" hidden="1">"MAYERX"</definedName>
    <definedName name="q" hidden="1">{"february96",#N/A,FALSE,"report"}</definedName>
    <definedName name="QUESTIONNAIRES" hidden="1">#REF!</definedName>
    <definedName name="qwerty" hidden="1">{#N/A,#N/A,TRUE,"FOC_Product_Assumptions"}</definedName>
    <definedName name="RECOVERIES" hidden="1">#REF!</definedName>
    <definedName name="RECOVERYQUEUE" hidden="1">#REF!</definedName>
    <definedName name="redo" hidden="1">{#N/A,#N/A,FALSE,"ACQ_GRAPHS";#N/A,#N/A,FALSE,"T_1 GRAPHS";#N/A,#N/A,FALSE,"T_2 GRAPHS";#N/A,#N/A,FALSE,"COMB_GRAPHS"}</definedName>
    <definedName name="REPRESENTMENTS" hidden="1">#REF!</definedName>
    <definedName name="rer" hidden="1">{"november95",#N/A,FALSE,"report"}</definedName>
    <definedName name="rhs" hidden="1">{#N/A,#N/A,TRUE,"KEY DATA";#N/A,#N/A,TRUE,"KEY DATA Base Case";#N/A,#N/A,TRUE,"JULY";#N/A,#N/A,TRUE,"AUG";#N/A,#N/A,TRUE,"SEPT";#N/A,#N/A,TRUE,"3Q"}</definedName>
    <definedName name="rtrtrr">#N/A</definedName>
    <definedName name="s" hidden="1">{"february96",#N/A,FALSE,"report"}</definedName>
    <definedName name="SAPBEXrevision" hidden="1">1</definedName>
    <definedName name="SAPBEXsysID" hidden="1">"BWP"</definedName>
    <definedName name="SAPBEXwbID" hidden="1">"3P1H8QHXZS6WCRMKQ7A09TI70"</definedName>
    <definedName name="sasawdad" hidden="1">#REF!</definedName>
    <definedName name="sd" hidden="1">{"february96",#N/A,FALSE,"report"}</definedName>
    <definedName name="sda" hidden="1">{#N/A,#N/A,FALSE,"TS";#N/A,#N/A,FALSE,"Combo";#N/A,#N/A,FALSE,"FAIR";#N/A,#N/A,FALSE,"RBC";#N/A,#N/A,FALSE,"xxxx";#N/A,#N/A,FALSE,"A_D";#N/A,#N/A,FALSE,"WACC";#N/A,#N/A,FALSE,"DCF";#N/A,#N/A,FALSE,"LBO";#N/A,#N/A,FALSE,"AcqMults";#N/A,#N/A,FALSE,"CompMults"}</definedName>
    <definedName name="sdasdsad" hidden="1">{#N/A,#N/A,TRUE,"Falcons_Standalone";#N/A,#N/A,TRUE,"Target_Input";#N/A,#N/A,TRUE,"Target_Calendarized"}</definedName>
    <definedName name="sdf" hidden="1">{#N/A,#N/A,FALSE,"Aging Summary";#N/A,#N/A,FALSE,"Ratio Analysis";#N/A,#N/A,FALSE,"Test 120 Day Accts";#N/A,#N/A,FALSE,"Tickmarks"}</definedName>
    <definedName name="sdfsdf" hidden="1">{#N/A,#N/A,TRUE,"Acquirer_Cases_Input";#N/A,#N/A,TRUE,"Acquirer_Input";#N/A,#N/A,TRUE,"Acquirer"}</definedName>
    <definedName name="sdzfdsaf" hidden="1">{"may96",#N/A,FALSE,"report"}</definedName>
    <definedName name="sdzfdsaf1" hidden="1">{"may96",#N/A,FALSE,"report"}</definedName>
    <definedName name="se" hidden="1">{"february96",#N/A,FALSE,"report"}</definedName>
    <definedName name="sencount" hidden="1">2</definedName>
    <definedName name="Services1" hidden="1">{"february96",#N/A,FALSE,"report"}</definedName>
    <definedName name="services2" hidden="1">{"february96",#N/A,FALSE,"report"}</definedName>
    <definedName name="SleepmasterIncome" hidden="1">{#N/A,#N/A,FALSE,"TS";#N/A,#N/A,FALSE,"Combo";#N/A,#N/A,FALSE,"FAIR";#N/A,#N/A,FALSE,"RBC";#N/A,#N/A,FALSE,"xxxx";#N/A,#N/A,FALSE,"A_D";#N/A,#N/A,FALSE,"WACC";#N/A,#N/A,FALSE,"DCF";#N/A,#N/A,FALSE,"LBO";#N/A,#N/A,FALSE,"AcqMults";#N/A,#N/A,FALSE,"CompMults"}</definedName>
    <definedName name="solver_adj" hidden="1">#REF!</definedName>
    <definedName name="solver_cvg" hidden="1">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opt" hidden="1">#REF!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0</definedName>
    <definedName name="ss">#N/A</definedName>
    <definedName name="ssss"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StartCell" hidden="1">#REF!</definedName>
    <definedName name="StrategicPricingPresent">[1]Automation!#REF!</definedName>
    <definedName name="stud13"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SUMMARY_BOOK" hidden="1">{"page1",#N/A,FALSE,"GIRLBO";"page2",#N/A,FALSE,"GIRLBO";"page3",#N/A,FALSE,"GIRLBO";"page4",#N/A,FALSE,"GIRLBO";"page5",#N/A,FALSE,"GIRLBO"}</definedName>
    <definedName name="summaryty" hidden="1">{#N/A,#N/A,TRUE,"KEY DATA";#N/A,#N/A,TRUE,"KEY DATA Base Case";#N/A,#N/A,TRUE,"JULY";#N/A,#N/A,TRUE,"AUG";#N/A,#N/A,TRUE,"SEPT";#N/A,#N/A,TRUE,"3Q"}</definedName>
    <definedName name="summaryty." hidden="1">{#N/A,#N/A,TRUE,"KEY DATA";#N/A,#N/A,TRUE,"KEY DATA Base Case";#N/A,#N/A,TRUE,"JULY";#N/A,#N/A,TRUE,"AUG";#N/A,#N/A,TRUE,"SEPT";#N/A,#N/A,TRUE,"3Q"}</definedName>
    <definedName name="SUPPLIER" hidden="1">{#N/A,#N/A,FALSE,"IS";#N/A,#N/A,FALSE,"BS";#N/A,#N/A,FALSE,"RMA";#N/A,#N/A,FALSE,"INCOME";#N/A,#N/A,FALSE,"DCF";#N/A,#N/A,FALSE,"MARKET"}</definedName>
    <definedName name="TableName">"Dummy"</definedName>
    <definedName name="Telephone" hidden="1">#REF!</definedName>
    <definedName name="temp" hidden="1">{"february96",#N/A,FALSE,"report"}</definedName>
    <definedName name="temp." hidden="1">{#N/A,#N/A,TRUE,"KEY DATA";#N/A,#N/A,TRUE,"KEY DATA Base Case";#N/A,#N/A,TRUE,"JULY";#N/A,#N/A,TRUE,"AUG";#N/A,#N/A,TRUE,"SEPT";#N/A,#N/A,TRUE,"3Q"}</definedName>
    <definedName name="temp12" hidden="1">{#N/A,#N/A,TRUE,"KEY DATA";#N/A,#N/A,TRUE,"KEY DATA Base Case";#N/A,#N/A,TRUE,"JULY";#N/A,#N/A,TRUE,"AUG";#N/A,#N/A,TRUE,"SEPT";#N/A,#N/A,TRUE,"3Q"}</definedName>
    <definedName name="temp12." hidden="1">{#N/A,#N/A,TRUE,"KEY DATA";#N/A,#N/A,TRUE,"KEY DATA Base Case";#N/A,#N/A,TRUE,"JULY";#N/A,#N/A,TRUE,"AUG";#N/A,#N/A,TRUE,"SEPT";#N/A,#N/A,TRUE,"3Q"}</definedName>
    <definedName name="temp2" hidden="1">{"may96",#N/A,FALSE,"report"}</definedName>
    <definedName name="temp3" hidden="1">{"november95",#N/A,FALSE,"report"}</definedName>
    <definedName name="temp4" hidden="1">{"november95",#N/A,FALSE,"report"}</definedName>
    <definedName name="test" hidden="1">{"november95",#N/A,FALSE,"report"}</definedName>
    <definedName name="TM1REBUILDOPTION">0</definedName>
    <definedName name="treeList" hidden="1">"11100000000000000000000000000000000000000000000000000000000000000000000000000000000000000000000000000000000000000000000000000000000000000000000000000000000000000000000000000000000000000000000000000000"</definedName>
    <definedName name="tttt" hidden="1">{#N/A,#N/A,FALSE,"Report Data";#N/A,#N/A,FALSE,"COMP POOL";#N/A,#N/A,FALSE,"COMP POOL NB95";#N/A,#N/A,FALSE,"COMP POOL NB94"}</definedName>
    <definedName name="Tulsa" hidden="1">{#N/A,#N/A,FALSE,"Report Data";#N/A,#N/A,FALSE,"COMP POOL";#N/A,#N/A,FALSE,"COMP POOL NB95";#N/A,#N/A,FALSE,"COMP POOL NB94"}</definedName>
    <definedName name="type" hidden="1">{"november95",#N/A,FALSE,"report"}</definedName>
    <definedName name="Units" hidden="1">#REF!</definedName>
    <definedName name="US_Corp_Tools" hidden="1">{"february96",#N/A,FALSE,"report"}</definedName>
    <definedName name="v" hidden="1">{#N/A,#N/A,FALSE,"Aging Summary";#N/A,#N/A,FALSE,"Ratio Analysis";#N/A,#N/A,FALSE,"Test 120 Day Accts";#N/A,#N/A,FALSE,"Tickmarks"}</definedName>
    <definedName name="Values_Entered">#N/A</definedName>
    <definedName name="Version" hidden="1">#REF!</definedName>
    <definedName name="VersNo">0.22</definedName>
    <definedName name="VISASIGNATURE" hidden="1">#REF!</definedName>
    <definedName name="VROLEXCEPTIONS" hidden="1">#REF!</definedName>
    <definedName name="vv" hidden="1">{"contributory1",#N/A,FALSE,"Contributory Assets Detail";"contributory2",#N/A,FALSE,"Contributory Assets Detail"}</definedName>
    <definedName name="vvv" hidden="1">{"ReportTop",#N/A,FALSE,"report top"}</definedName>
    <definedName name="vvvv" hidden="1">{"documentation1",#N/A,FALSE,"Documentation";"documentation2",#N/A,FALSE,"Documentation"}</definedName>
    <definedName name="vvvvv" hidden="1">{"summary1",#N/A,FALSE,"Summary of Values";"weighted average returns",#N/A,FALSE,"WACC and WARA";"revenue graph",#N/A,FALSE,"Revenue Graph";"historical acquirer",#N/A,FALSE,"Historical Performance";"historical target",#N/A,FALSE,"Historical Performance";"revenue detail 1",#N/A,FALSE,"Revenue Detail";"revenue detail 2",#N/A,FALSE,"Revenue Detail";"revenue detail 3",#N/A,FALSE,"Revenue Detail";"revenue detail 4",#N/A,FALSE,"Revenue Detail";"gross_margin1",#N/A,FALSE,"Gross Margin Detail";"gross_margin2",#N/A,FALSE,"Gross Margin Detail";"developed income statement",#N/A,FALSE,"Abbreviated Income Statement";"inprocess income statement",#N/A,FALSE,"Abbreviated Income Statement";"developed valuation",#N/A,FALSE,"Valuation Analysis";"inprocess valuation",#N/A,FALSE,"Valuation Analysis";"trademark1",#N/A,FALSE,"Trademark(s) and Trade Name(s)";"contributory1",#N/A,FALSE,"Contributory Assets Detail";"contributory2",#N/A,FALSE,"Contributory Assets Detail";"fixed asset detail",#N/A,FALSE,"Fixed Asset Detail"}</definedName>
    <definedName name="vvvvvv" hidden="1">{#N/A,#N/A,TRUE,"Fiber_Optic_Cable_Input ";#N/A,#N/A,TRUE,"Specialty_Fiber_Devices_Input";#N/A,#N/A,TRUE,"Optical_Fiber_Apparatus_Input"}</definedName>
    <definedName name="vvvvvvv" hidden="1">{#N/A,#N/A,TRUE,"Falcons_Standalone";#N/A,#N/A,TRUE,"Target_Input";#N/A,#N/A,TRUE,"Target_Calendarized"}</definedName>
    <definedName name="vvvvvvvv" hidden="1">{#N/A,#N/A,TRUE,"FOC_Product_Assumptions"}</definedName>
    <definedName name="vvvvvvvvv" hidden="1">{#N/A,#N/A,FALSE,"Consolidated Shipley";#N/A,#N/A,FALSE,"Consolidated PWB";#N/A,#N/A,FALSE,"Consolidated Micro"}</definedName>
    <definedName name="vvvvvvvvvv" hidden="1">{#N/A,#N/A,FALSE,"Consolidated Shipley";#N/A,#N/A,FALSE,"Consolidated PWB";#N/A,#N/A,FALSE,"Consolidated Micro"}</definedName>
    <definedName name="w" hidden="1">{"ReportTop",#N/A,FALSE,"report top"}</definedName>
    <definedName name="WARA2" hidden="1">{"histincome",#N/A,FALSE,"hyfins";"closing balance",#N/A,FALSE,"hyfins"}</definedName>
    <definedName name="Web" hidden="1">#REF!</definedName>
    <definedName name="wetwerg" hidden="1">{"february96",#N/A,FALSE,"report"}</definedName>
    <definedName name="wrn." hidden="1">{#N/A,#N/A,FALSE,"Japan 2003";#N/A,#N/A,FALSE,"Sheet2"}</definedName>
    <definedName name="wrn.A_VALUATION." hidden="1">{#N/A,#N/A,FALSE,"A_D";#N/A,#N/A,FALSE,"WACC";#N/A,#N/A,FALSE,"DCF";#N/A,#N/A,FALSE,"A";#N/A,#N/A,FALSE,"LBO";#N/A,#N/A,FALSE,"C";#N/A,#N/A,FALSE,"impd";#N/A,#N/A,FALSE,"comps"}</definedName>
    <definedName name="wrn.abc" hidden="1">{"november95",#N/A,FALSE,"report"}</definedName>
    <definedName name="wrn.Accr_Dil." hidden="1">{#N/A,#N/A,FALSE,"Debt Accr";#N/A,#N/A,FALSE,"Stock Accr";#N/A,#N/A,FALSE,"Debt Stock Accr"}</definedName>
    <definedName name="wrn.Acquisition_matrix." hidden="1">{"Acq_matrix",#N/A,FALSE,"Acquisition Matrix"}</definedName>
    <definedName name="wrn.adj95." hidden="1">{"adj95mult",#N/A,FALSE,"COMPCO";"adj95est",#N/A,FALSE,"COMPCO"}</definedName>
    <definedName name="wrn.Aging._.and._.Trend._.Analysis." hidden="1">{#N/A,#N/A,FALSE,"Aging Summary";#N/A,#N/A,FALSE,"Ratio Analysis";#N/A,#N/A,FALSE,"Test 120 Day Accts";#N/A,#N/A,FALSE,"Tickmarks"}</definedName>
    <definedName name="wrn.AGN._.MODELS." hidden="1">{"QTRINC1",#N/A,FALSE,"QTRINC";"QTRINC2",#N/A,FALSE,"QTRINC";"QTRSALES",#N/A,FALSE,"QTRSALES";"ANNSALES",#N/A,FALSE,"ANNSALES";"CASHFLOW",#N/A,FALSE,"CASHFLOW"}</definedName>
    <definedName name="wrn.all." hidden="1">{"all",#N/A,FALSE,"report"}</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PAGES." hidden="1">{#N/A,#N/A,FALSE,"puboff";#N/A,#N/A,FALSE,"financials";#N/A,#N/A,FALSE,"valuation";#N/A,#N/A,FALSE,"split"}</definedName>
    <definedName name="wrn.ALL._.SHEETS." hidden="1">{#N/A,#N/A,FALSE,"Adj Proj";#N/A,#N/A,FALSE,"Sheet1";#N/A,#N/A,FALSE,"LBO";#N/A,#N/A,FALSE,"LBOMER";#N/A,#N/A,FALSE,"WACC";#N/A,#N/A,FALSE,"DCF";#N/A,#N/A,FALSE,"DCFMER";#N/A,#N/A,FALSE,"Pooling";#N/A,#N/A,FALSE,"income";#N/A,#N/A,FALSE,"Offer"}</definedName>
    <definedName name="wrn.All_Models." hidden="1">{#N/A,#N/A,FALSE,"Summary";#N/A,#N/A,FALSE,"Projections";#N/A,#N/A,FALSE,"Mkt Mults";#N/A,#N/A,FALSE,"DCF";#N/A,#N/A,FALSE,"Accr Dil";#N/A,#N/A,FALSE,"PIC LBO";#N/A,#N/A,FALSE,"MULT10_4";#N/A,#N/A,FALSE,"CBI LBO"}</definedName>
    <definedName name="wrn.All_Sheets." hidden="1">{#N/A,#N/A,FALSE,"Projections";#N/A,#N/A,FALSE,"Contribution_Stock";#N/A,#N/A,FALSE,"PF_Combo_Stock";#N/A,#N/A,FALSE,"Projections";#N/A,#N/A,FALSE,"Contribution_Cash";#N/A,#N/A,FALSE,"PF_Combo_Cash";#N/A,#N/A,FALSE,"IPO_Cash"}</definedName>
    <definedName name="wrn.all1" hidden="1">{"P&amp;L",#N/A,TRUE,"HC";"P&amp;L Percents",#N/A,TRUE,"P&amp;L";"M&amp;A3 P&amp;L",#N/A,TRUE,"HC";"M&amp;A3 Pipeline",#N/A,TRUE,"HC";"Franchises",#N/A,TRUE,"HC";"CF&amp;BS",#N/A,TRUE,"HC"}</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hidden="1">{#N/A,#N/A,FALSE,"AD_Purchase";#N/A,#N/A,FALSE,"Credit";#N/A,#N/A,FALSE,"PF Acquisition";#N/A,#N/A,FALSE,"PF Offering"}</definedName>
    <definedName name="wrn.AMF." hidden="1">{#N/A,#N/A,FALSE,"2910150-0001";#N/A,#N/A,FALSE,"2910150-0002";#N/A,#N/A,FALSE,"2910150-0004";#N/A,#N/A,FALSE,"1200-2910150"}</definedName>
    <definedName name="wrn.Annual._.Recap." hidden="1">{"Annual Recap",#N/A,FALSE,"Annual Recap"}</definedName>
    <definedName name="wrn.april96." hidden="1">{"april96",#N/A,FALSE,"report"}</definedName>
    <definedName name="wrn.AQUIROR._.DCF." hidden="1">{"AQUIRORDCF",#N/A,FALSE,"Merger consequences";"Acquirorassns",#N/A,FALSE,"Merger consequences"}</definedName>
    <definedName name="wrn.AUGUST." hidden="1">{"p&amp;lSUM",#N/A,FALSE,"P&amp;L";"DETAIL",#N/A,FALSE,"P&amp;L";"% revenue",#N/A,FALSE,"P&amp;L";"% growth",#N/A,FALSE,"P&amp;L";"summary",#N/A,FALSE,"Summary";"chart",#N/A,FALSE,"Summary"}</definedName>
    <definedName name="wrn.august1" hidden="1">{"p&amp;lSUM",#N/A,FALSE,"P&amp;L";"DETAIL",#N/A,FALSE,"P&amp;L";"% revenue",#N/A,FALSE,"P&amp;L";"% growth",#N/A,FALSE,"P&amp;L";"summary",#N/A,FALSE,"Summary";"chart",#N/A,FALSE,"Summary"}</definedName>
    <definedName name="wrn.august96." hidden="1">{"august96",#N/A,FALSE,"report"}</definedName>
    <definedName name="wrn.Aventis._.Analysis." hidden="1">{"P&amp;Lforaventis",#N/A,FALSE,"Franchises";"aventisP&amp;L",#N/A,FALSE,"Franchises";"inflam franchise",#N/A,FALSE,"Franchises"}</definedName>
    <definedName name="wrn.aventis._.analysis.1" hidden="1">{"P&amp;Lforaventis",#N/A,FALSE,"Franchises";"aventisP&amp;L",#N/A,FALSE,"Franchises";"inflam franchise",#N/A,FALSE,"Franchises"}</definedName>
    <definedName name="wrn.Basic._.Report." hidden="1">{#N/A,#N/A,FALSE,"New Depr Sch-150% DB";#N/A,#N/A,FALSE,"Cash Flows RLP";#N/A,#N/A,FALSE,"IRR";#N/A,#N/A,FALSE,"Proforma IS";#N/A,#N/A,FALSE,"Assumptions"}</definedName>
    <definedName name="wrn.basics." hidden="1">{#N/A,#N/A,FALSE,"TSUM";#N/A,#N/A,FALSE,"shares";#N/A,#N/A,FALSE,"earnout";#N/A,#N/A,FALSE,"Heaty";#N/A,#N/A,FALSE,"self-tend";#N/A,#N/A,FALSE,"self-sum"}</definedName>
    <definedName name="wrn.BSAnnualModel." hidden="1">{"BSAnnualModel",#N/A,FALSE,"BS"}</definedName>
    <definedName name="wrn.bullshit1." hidden="1">{#N/A,#N/A,FALSE,"Sheet1";#N/A,#N/A,FALSE,"Summary";#N/A,#N/A,FALSE,"proj1";#N/A,#N/A,FALSE,"proj2"}</definedName>
    <definedName name="wrn.c" hidden="1">{"p&amp;lSUM",#N/A,FALSE,"P&amp;L";"DETAIL",#N/A,FALSE,"P&amp;L";"% revenue",#N/A,FALSE,"P&amp;L";"% growth",#N/A,FALSE,"P&amp;L";"summary",#N/A,FALSE,"Summary";"chart",#N/A,FALSE,"Summary"}</definedName>
    <definedName name="wrn.CFSModel." hidden="1">{"CFSModel",#N/A,FALSE,"CFS"}</definedName>
    <definedName name="wrn.Charts." hidden="1">{"Revenue chart",#N/A,FALSE,"Charts";"ExpenseChart",#N/A,FALSE,"Charts";"Netincomechart",#N/A,FALSE,"Charts"}</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OMBINED." hidden="1">{#N/A,#N/A,FALSE,"INPUTS";#N/A,#N/A,FALSE,"PROFORMA BSHEET";#N/A,#N/A,FALSE,"COMBINED";#N/A,#N/A,FALSE,"HIGH YIELD";#N/A,#N/A,FALSE,"COMB_GRAPHS"}</definedName>
    <definedName name="wrn.compco." hidden="1">{"mult96",#N/A,FALSE,"PETCOMP";"est96",#N/A,FALSE,"PETCOMP";"mult95",#N/A,FALSE,"PETCOMP";"est95",#N/A,FALSE,"PETCOMP";"multltm",#N/A,FALSE,"PETCOMP";"resultltm",#N/A,FALSE,"PETCOMP"}</definedName>
    <definedName name="wrn.Complete._.Report." hidden="1">{#N/A,#N/A,FALSE,"Assumptions";#N/A,#N/A,FALSE,"Proforma IS";#N/A,#N/A,FALSE,"Cash Flows RLP";#N/A,#N/A,FALSE,"IRR";#N/A,#N/A,FALSE,"New Depr Sch-150% DB";#N/A,#N/A,FALSE,"Comments"}</definedName>
    <definedName name="wrn.contributory._.asset._.charges." hidden="1">{"contributory1",#N/A,FALSE,"Contributory Assets Detail";"contributory2",#N/A,FALSE,"Contributory Assets Detail"}</definedName>
    <definedName name="wrn.Core." hidden="1">{"MAJCore",#N/A,FALSE,"MAJ";"BISCore",#N/A,FALSE,"BIS";"SMECore",#N/A,FALSE,"SME";"SMMCore",#N/A,FALSE,"SMM";"SMPCore",#N/A,FALSE,"SMP";"SMCCore",#N/A,FALSE,"SMC";"SMRCore",#N/A,FALSE,"SMR";"CNSCore",#N/A,FALSE,"CNS";"REGCore",#N/A,FALSE,"REG"}</definedName>
    <definedName name="wrn.cotop." hidden="1">{"ReportTop",#N/A,FALSE,"report top"}</definedName>
    <definedName name="wrn.crom._.4cast." hidden="1">{#N/A,#N/A,TRUE,"TOTAL Roll-up";#N/A,#N/A,TRUE,"Launch timing assumptions"}</definedName>
    <definedName name="wrn.croma._.forecast." hidden="1">{#N/A,#N/A,TRUE,"TOTAL Roll-up";#N/A,#N/A,TRUE,"Launch timing assumptions"}</definedName>
    <definedName name="wrn.CUTS." hidden="1">{"REVENUE1",#N/A,FALSE,"REVPIVOT";"EXP1",#N/A,FALSE,"REVPIVOT";"EXP2",#N/A,FALSE,"REVPIVOT";"EXP4",#N/A,FALSE,"REVPIVOT";"EXP5",#N/A,FALSE,"REVPIVOT";"PIPELINE1",#N/A,FALSE,"REVPIVOT";"PIPELINE3",#N/A,FALSE,"REVPIVOT";"PIPELINE4",#N/A,FALSE,"REVPIVOT";"hc1",#N/A,FALSE,"REVPIVOT";"hc2",#N/A,FALSE,"REVPIVOT";"HC3",#N/A,FALSE,"REVPIVOT"}</definedName>
    <definedName name="wrn.DCF." hidden="1">{"DCF1",#N/A,FALSE,"SIERRA DCF";"MATRIX1",#N/A,FALSE,"SIERRA DCF"}</definedName>
    <definedName name="wrn.DCF_Terminal_Value_qchm." hidden="1">{"qchm_dcf",#N/A,FALSE,"QCHMDCF2";"qchm_terminal",#N/A,FALSE,"QCHMDCF2"}</definedName>
    <definedName name="wrn.december95." hidden="1">{"december95",#N/A,FALSE,"report"}</definedName>
    <definedName name="wrn.documentation." hidden="1">{"documentation1",#N/A,FALSE,"Documentation";"documentation2",#N/A,FALSE,"Documentation"}</definedName>
    <definedName name="wrn.EAC._.Reports." hidden="1">{#N/A,#N/A,FALSE,"SUMMARY";#N/A,#N/A,FALSE,"EAC96PLA";#N/A,#N/A,FALSE,"EAC96EXT";#N/A,#N/A,FALSE,"FINSUM";#N/A,#N/A,FALSE,"1996PL";#N/A,#N/A,FALSE,"RISKOP3rd";#N/A,#N/A,FALSE,"RISKTOTAL";#N/A,#N/A,FALSE,"STAFFING";#N/A,#N/A,FALSE,"Balsht"}</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conomic._.Value._.Added._.Analysis." hidden="1">{"EVA",#N/A,FALSE,"EVA";"WACC",#N/A,FALSE,"WACC"}</definedName>
    <definedName name="wrn.EXHIBITS." hidden="1">{"summary1",#N/A,FALSE,"Summary of Values";"weighted average returns",#N/A,FALSE,"WACC and WARA";"revenue graph",#N/A,FALSE,"Revenue Graph";"historical acquirer",#N/A,FALSE,"Historical Performance";"historical target",#N/A,FALSE,"Historical Performance";"revenue detail 1",#N/A,FALSE,"Revenue Detail";"revenue detail 2",#N/A,FALSE,"Revenue Detail";"revenue detail 3",#N/A,FALSE,"Revenue Detail";"revenue detail 4",#N/A,FALSE,"Revenue Detail";"gross_margin1",#N/A,FALSE,"Gross Margin Detail";"gross_margin2",#N/A,FALSE,"Gross Margin Detail";"developed income statement",#N/A,FALSE,"Abbreviated Income Statement";"inprocess income statement",#N/A,FALSE,"Abbreviated Income Statement";"developed valuation",#N/A,FALSE,"Valuation Analysis";"inprocess valuation",#N/A,FALSE,"Valuation Analysis";"trademark1",#N/A,FALSE,"Trademark(s) and Trade Name(s)";"contributory1",#N/A,FALSE,"Contributory Assets Detail";"contributory2",#N/A,FALSE,"Contributory Assets Detail";"fixed asset detail",#N/A,FALSE,"Fixed Asset Detail"}</definedName>
    <definedName name="wrn.Falcons._.Divisions." hidden="1">{#N/A,#N/A,TRUE,"Fiber_Optic_Cable_Input ";#N/A,#N/A,TRUE,"Specialty_Fiber_Devices_Input";#N/A,#N/A,TRUE,"Optical_Fiber_Apparatus_Input"}</definedName>
    <definedName name="wrn.Falcons._.Standalone." hidden="1">{#N/A,#N/A,TRUE,"Falcons_Standalone";#N/A,#N/A,TRUE,"Target_Input";#N/A,#N/A,TRUE,"Target_Calendarized"}</definedName>
    <definedName name="wrn.february96." hidden="1">{"february96",#N/A,FALSE,"report"}</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ter." hidden="1">{#N/A,#N/A,FALSE,"Assump2";#N/A,#N/A,FALSE,"Income2";#N/A,#N/A,FALSE,"Balance2";#N/A,#N/A,FALSE,"DCF Filter";#N/A,#N/A,FALSE,"Trans Assump2";#N/A,#N/A,FALSE,"Combined Income2";#N/A,#N/A,FALSE,"Combined Balance2"}</definedName>
    <definedName name="wrn.first2." hidden="1">{#N/A,#N/A,FALSE,"sum-don";#N/A,#N/A,FALSE,"inc-don"}</definedName>
    <definedName name="wrn.first3." hidden="1">{#N/A,#N/A,FALSE,"Summary";#N/A,#N/A,FALSE,"proj1";#N/A,#N/A,FALSE,"proj2"}</definedName>
    <definedName name="wrn.first4." hidden="1">{#N/A,#N/A,FALSE,"Summary";#N/A,#N/A,FALSE,"proj1";#N/A,#N/A,FALSE,"proj2";#N/A,#N/A,FALSE,"DCF"}</definedName>
    <definedName name="wrn.FOC._.Detail." hidden="1">{#N/A,#N/A,TRUE,"FOC_Product_Assumptions"}</definedName>
    <definedName name="wrn.fpkg." hidden="1">{#N/A,#N/A,FALSE,"Consolidated Shipley";#N/A,#N/A,FALSE,"Consolidated PWB";#N/A,#N/A,FALSE,"Consolidated Micro"}</definedName>
    <definedName name="wrn.fpkg1" hidden="1">{#N/A,#N/A,FALSE,"Consolidated Shipley";#N/A,#N/A,FALSE,"Consolidated PWB";#N/A,#N/A,FALSE,"Consolidated Micro"}</definedName>
    <definedName name="wrn.fpkg2" hidden="1">{#N/A,#N/A,FALSE,"Consolidated Shipley";#N/A,#N/A,FALSE,"Consolidated PWB";#N/A,#N/A,FALSE,"Consolidated Micro"}</definedName>
    <definedName name="wrn.fpkg3" hidden="1">{#N/A,#N/A,FALSE,"Consolidated Shipley";#N/A,#N/A,FALSE,"Consolidated PWB";#N/A,#N/A,FALSE,"Consolidated Micro"}</definedName>
    <definedName name="wrn.GRAPHS." hidden="1">{#N/A,#N/A,FALSE,"ACQ_GRAPHS";#N/A,#N/A,FALSE,"T_1 GRAPHS";#N/A,#N/A,FALSE,"T_2 GRAPHS";#N/A,#N/A,FALSE,"COMB_GRAPHS"}</definedName>
    <definedName name="wrn.gross._.margin._.detail." hidden="1">{"gross_margin1",#N/A,FALSE,"Gross Margin Detail";"gross_margin2",#N/A,FALSE,"Gross Margin Detail"}</definedName>
    <definedName name="wrn.HEAT." hidden="1">{#N/A,#N/A,FALSE,"Heat";#N/A,#N/A,FALSE,"DCF";#N/A,#N/A,FALSE,"LBO";#N/A,#N/A,FALSE,"A";#N/A,#N/A,FALSE,"C";#N/A,#N/A,FALSE,"impd";#N/A,#N/A,FALSE,"Accr-Dilu"}</definedName>
    <definedName name="wrn.historical._.performance." hidden="1">{"historical acquirer",#N/A,FALSE,"Historical Performance";"historical target",#N/A,FALSE,"Historical Performance"}</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hidden="1">{#N/A,#N/A,FALSE,"HuscoCombined-Summ";#N/A,#N/A,FALSE,"HuscoCombined-Income";#N/A,#N/A,FALSE,"HuscoCombined-Offering";#N/A,#N/A,FALSE,"Husco-Income";#N/A,#N/A,FALSE,"TargetEngineer";#N/A,#N/A,FALSE,"TargetAcqCalc";#N/A,#N/A,FALSE,"Husco-Acq"}</definedName>
    <definedName name="wrn.Income._.Statement." hidden="1">{#N/A,#N/A,FALSE,"Report Print"}</definedName>
    <definedName name="wrn.IPO._.Valuation." hidden="1">{"assumptions",#N/A,FALSE,"Scenario 1";"valuation",#N/A,FALSE,"Scenario 1"}</definedName>
    <definedName name="wrn.ipovalue." hidden="1">{#N/A,#N/A,FALSE,"puboff";#N/A,#N/A,FALSE,"valuation";#N/A,#N/A,FALSE,"finanalsis";#N/A,#N/A,FALSE,"split";#N/A,#N/A,FALSE,"ownership"}</definedName>
    <definedName name="wrn.ISAnnualModel." hidden="1">{"AnnModel",#N/A,FALSE,"IS"}</definedName>
    <definedName name="wrn.ISCG._.model." hidden="1">{#N/A,#N/A,FALSE,"Second";#N/A,#N/A,FALSE,"ownership";#N/A,#N/A,FALSE,"Valuation";#N/A,#N/A,FALSE,"Eqiv";#N/A,#N/A,FALSE,"Mults";#N/A,#N/A,FALSE,"ISCG Graphics"}</definedName>
    <definedName name="wrn.ISQtrModel." hidden="1">{"QtrModel",#N/A,FALSE,"IS"}</definedName>
    <definedName name="wrn.january96." hidden="1">{"january96",#N/A,FALSE,"report"}</definedName>
    <definedName name="wrn.Jeff._.Standalone." hidden="1">{#N/A,#N/A,TRUE,"Acquirer_Cases_Input";#N/A,#N/A,TRUE,"Acquirer_Input";#N/A,#N/A,TRUE,"Acquirer"}</definedName>
    <definedName name="wrn.JODM._.Graphs." hidden="1">{"graph",#N/A,FALSE,"WWJU";"graph",#N/A,FALSE,"WWSEM";"graph",#N/A,FALSE,"GOMJU";"graph",#N/A,FALSE,"GOMSEM";"graph",#N/A,FALSE,"NSJU";"graph",#N/A,FALSE,"NSSEM";"graph",#N/A,FALSE,"WAJU";"graph",#N/A,FALSE,"STOCKPRI";"graph",#N/A,FALSE,"CFTEV";"graph",#N/A,FALSE,"NAV-RCV";"graph",#N/A,FALSE,"CRUDEWW"}</definedName>
    <definedName name="wrn.july96." hidden="1">{"july96",#N/A,FALSE,"report"}</definedName>
    <definedName name="wrn.june96." hidden="1">{"june96",#N/A,FALSE,"report"}</definedName>
    <definedName name="wrn.LBO._.Summary." hidden="1">{"LBO Summary",#N/A,FALSE,"Summary"}</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e." hidden="1">{"Assumptions",#N/A,TRUE,"Assumptions";"Income",#N/A,TRUE,"Income";"Balance",#N/A,TRUE,"Balance"}</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o._.Report._.Set." hidden="1">{#N/A,#N/A,FALSE,"Published Rpt"}</definedName>
    <definedName name="wrn.march96." hidden="1">{"march96",#N/A,FALSE,"report"}</definedName>
    <definedName name="wrn.may96." hidden="1">{"may96",#N/A,FALSE,"report"}</definedName>
    <definedName name="wrn.merge." hidden="1">{#N/A,#N/A,FALSE,"IPO";#N/A,#N/A,FALSE,"DCF";#N/A,#N/A,FALSE,"LBO";#N/A,#N/A,FALSE,"MULT_VAL";#N/A,#N/A,FALSE,"Status Quo";#N/A,#N/A,FALSE,"Recap"}</definedName>
    <definedName name="wrn.model." hidden="1">{"page1",#N/A,FALSE,"GIRLBO";"page2",#N/A,FALSE,"GIRLBO";"page3",#N/A,FALSE,"GIRLBO";"page4",#N/A,FALSE,"GIRLBO";"page5",#N/A,FALSE,"GIRLBO"}</definedName>
    <definedName name="wrn.Monthly._.Financials." hidden="1">{#N/A,#N/A,FALSE,"PL OCT";#N/A,#N/A,FALSE,"YTD";#N/A,#N/A,FALSE,"Trend03";#N/A,#N/A,FALSE,"03 BalSheet";#N/A,#N/A,FALSE,"Cash Flow"}</definedName>
    <definedName name="wrn.MyTestReport." hidden="1">{"Alberta",#N/A,FALSE,"Pivot Data";#N/A,#N/A,FALSE,"Pivot Data";"HiddenColumns",#N/A,FALSE,"Pivot Data"}</definedName>
    <definedName name="wrn.NEW." hidden="1">{"Total P&amp;L",#N/A,FALSE,"P&amp;LTECH";"SUMPIPELINE",#N/A,FALSE,"P&amp;LTECH";"REVENUE",#N/A,FALSE,"P&amp;LTECH";"r&amp;d",#N/A,FALSE,"P&amp;LTECH"}</definedName>
    <definedName name="wrn.newest." hidden="1">{#N/A,#N/A,TRUE,"TS";#N/A,#N/A,TRUE,"Combo";#N/A,#N/A,TRUE,"FAIR";#N/A,#N/A,TRUE,"RBC";#N/A,#N/A,TRUE,"xxxx"}</definedName>
    <definedName name="wrn.NewWave." hidden="1">{"MAJNew",#N/A,FALSE,"MAJ";"BISNew",#N/A,FALSE,"BIS";"SMENew",#N/A,FALSE,"SME";"SMPNew",#N/A,FALSE,"SMP";"SMMNew",#N/A,FALSE,"SMM";"SMCNew",#N/A,FALSE,"SMC";"SMRNew",#N/A,FALSE,"SMR";"CNSNew",#N/A,FALSE,"CNS";"REGNew",#N/A,FALSE,"REG";"ALTNew",#N/A,FALSE,"ALT";"PMTNew",#N/A,FALSE,"PMT";"CPSNew",#N/A,FALSE,"CPS";"SERNew",#N/A,FALSE,"SER";"TATNew",#N/A,FALSE,"TAT";"BILNew",#N/A,FALSE,"BIL";"FINNew",#N/A,FALSE,"FIN";"HRSNew",#N/A,FALSE,"HRS";"CEONew",#N/A,FALSE,"CEO";"STPnew",#N/A,FALSE,"STP";"ELINew",#N/A,FALSE,"ELI";"OTHNew",#N/A,FALSE,"OTH";"CTGNew",#N/A,FALSE,"CTG";"CENNew",#N/A,FALSE,"CEN";"TOTNew",#N/A,FALSE,"TOT"}</definedName>
    <definedName name="wrn.november95." hidden="1">{"november95",#N/A,FALSE,"report"}</definedName>
    <definedName name="wrn.october95." hidden="1">{"october95",#N/A,FALSE,"report"}</definedName>
    <definedName name="wrn.OUTPUT." hidden="1">{"DCF","UPSIDE CASE",FALSE,"Sheet1";"DCF","BASE CASE",FALSE,"Sheet1";"DCF","DOWNSIDE CASE",FALSE,"Sheet1"}</definedName>
    <definedName name="wrn.Package." hidden="1">{#N/A,#N/A,FALSE,"PL NOV";#N/A,#N/A,FALSE,"Trend00";#N/A,#N/A,FALSE,"YTD";#N/A,#N/A,FALSE,"00 balSheet";#N/A,#N/A,FALSE,"Bank BalSh"}</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rt._.1." hidden="1">{#N/A,#N/A,FALSE,"Title";#N/A,#N/A,FALSE,"Tbl Contents";#N/A,#N/A,FALSE,"Management Summary (1)";#N/A,#N/A,FALSE,"Major Project  (1)";#N/A,#N/A,FALSE,"Qterly Income";#N/A,#N/A,FALSE,"Major Project [2]";#N/A,#N/A,FALSE,"Project PBT chart 4A";#N/A,#N/A,FALSE,"Income Statement";#N/A,#N/A,FALSE,"Mntly Income";#N/A,#N/A,FALSE,"Rev Mix Chart 7A";#N/A,#N/A,FALSE,"GM Mix Chart 7b";#N/A,#N/A,FALSE,"Serv-PC % Chart 7C";#N/A,#N/A,FALSE,"Variance analysis";#N/A,#N/A,FALSE,"Cur Mnth Cash";#N/A,#N/A,FALSE,"Current Qtr Cash";#N/A,#N/A,FALSE,"Qtrly Cashflow";#N/A,#N/A,FALSE,"Mnthly Cashflow";#N/A,#N/A,FALSE,"Accts. Rec.";#N/A,#N/A,FALSE,"Headcnt Det";#N/A,#N/A,FALSE,"Gross Headcount"}</definedName>
    <definedName name="wrn.Part._.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ricing._.98." hidden="1">{#N/A,#N/A,FALSE,"ww";#N/A,#N/A,FALSE,"usa";#N/A,#N/A,FALSE,"canada";#N/A,#N/A,FALSE,"eu";#N/A,#N/A,FALSE,"cemea";#N/A,#N/A,FALSE,"asia";#N/A,#N/A,FALSE,"la"}</definedName>
    <definedName name="wrn.print." hidden="1">{#N/A,#N/A,FALSE,"SUM";#N/A,#N/A,FALSE,"Holding Cost ";#N/A,#N/A,FALSE,"2000 &amp; C3D";#N/A,#N/A,FALSE,"Disposal Costs";#N/A,#N/A,FALSE,"WIP";#N/A,#N/A,FALSE,"Fin Goods"}</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ump." hidden="1">{#N/A,#N/A,FALSE,"Assump";#N/A,#N/A,FALSE,"Income";#N/A,#N/A,FALSE,"Balance";#N/A,#N/A,FALSE,"DCF Pump";#N/A,#N/A,FALSE,"Trans Assump";#N/A,#N/A,FALSE,"Combined Income";#N/A,#N/A,FALSE,"Combined Balance"}</definedName>
    <definedName name="wrn.RELEVANTSHEETS." hidden="1">{#N/A,#N/A,FALSE,"AD_Purch";#N/A,#N/A,FALSE,"Projections";#N/A,#N/A,FALSE,"DCF";#N/A,#N/A,FALSE,"Mkt Val"}</definedName>
    <definedName name="wrn.Reports2." hidden="1">{"NI2",#N/A,FALSE,"Sum - Exp";"Revenue2",#N/A,FALSE,"Sum - Exp";"Headcount2",#N/A,FALSE,"Sum - Exp";"Pipeline2",#N/A,FALSE,"Sum - Exp";"expenses",#N/A,FALSE,"Sum - Exp"}</definedName>
    <definedName name="wrn.revenue._.detail." hidden="1">{"revenue detail 1",#N/A,FALSE,"Revenue Detail";"revenue detail 2",#N/A,FALSE,"Revenue Detail";"revenue detail 3",#N/A,FALSE,"Revenue Detail";"revenue detail 4",#N/A,FALSE,"Revenue Detail"}</definedName>
    <definedName name="wrn.revenue._.graph." hidden="1">{"revenue graph",#N/A,FALSE,"Revenue Graph"}</definedName>
    <definedName name="wrn.Roll._.Up._.Fields." hidden="1">{"Total",#N/A,FALSE,"Six Fields";"PDP",#N/A,FALSE,"Six Fields";"PNP",#N/A,FALSE,"Six Fields";"PUD",#N/A,FALSE,"Six Fields";"Prob",#N/A,FALSE,"Six Fields"}</definedName>
    <definedName name="wrn.september96." hidden="1">{"september96",#N/A,FALSE,"report"}</definedName>
    <definedName name="wrn.Standard._.Reports."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wrn.Statements." hidden="1">{"Co1statements",#N/A,FALSE,"Cmpy1";"Co2statement",#N/A,FALSE,"Cmpy2";"co1pm",#N/A,FALSE,"Co1PM";"co2PM",#N/A,FALSE,"Co2PM";"value",#N/A,FALSE,"value";"opco",#N/A,FALSE,"NewSparkle";"adjusts",#N/A,FALSE,"Adjustments"}</definedName>
    <definedName name="wrn.Summary." hidden="1">{"Sum1",#N/A,FALSE,"Reserve Report";"Sum2",#N/A,FALSE,"Reserve Report";"Sum3",#N/A,FALSE,"Reserve Report";"Sum4",#N/A,FALSE,"Reserve Report"}</definedName>
    <definedName name="wrn.summary.." hidden="1">{#N/A,#N/A,TRUE,"KEY DATA";#N/A,#N/A,TRUE,"KEY DATA Base Case";#N/A,#N/A,TRUE,"JULY";#N/A,#N/A,TRUE,"AUG";#N/A,#N/A,TRUE,"SEPT";#N/A,#N/A,TRUE,"3Q"}</definedName>
    <definedName name="wrn.summary._.schedules." hidden="1">{"summary1",#N/A,FALSE,"Summary of Values";"summary2",#N/A,FALSE,"Summary of Values"}</definedName>
    <definedName name="wrn.Supplemental_Reports." hidden="1">{#N/A,#N/A,FALSE,"Report Data";#N/A,#N/A,FALSE,"COMP POOL";#N/A,#N/A,FALSE,"COMP POOL NB95";#N/A,#N/A,FALSE,"COMP POOL NB94"}</definedName>
    <definedName name="wrn.TARGET._.DCF." hidden="1">{"targetdcf",#N/A,FALSE,"Merger consequences";"TARGETASSU",#N/A,FALSE,"Merger consequences";"TERMINAL VALUE",#N/A,FALSE,"Merger consequences"}</definedName>
    <definedName name="wrn.technology." hidden="1">{"developed valuation",#N/A,FALSE,"Valuation Analysis";"developed income statement",#N/A,FALSE,"Abbreviated Income Statement";"inprocess valuation",#N/A,FALSE,"Valuation Analysis";"inprocess income statement",#N/A,FALSE,"Abbreviated Income Statement"}</definedName>
    <definedName name="wrn.TheWholeEnchilada." hidden="1">{"CSheet",#N/A,FALSE,"C";"SmCap",#N/A,FALSE,"VAL1";"GulfCoast",#N/A,FALSE,"VAL1";"nav",#N/A,FALSE,"NAV";"Summary",#N/A,FALSE,"NAV"}</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tal." hidden="1">{"MAJTotal",#N/A,FALSE,"MAJ";"BISTotal",#N/A,FALSE,"BIS";"SMETotal",#N/A,FALSE,"SME";"SMMTotal",#N/A,FALSE,"SMM";"SMPTotal",#N/A,FALSE,"SMP";"SMCTotal",#N/A,FALSE,"SMC";"SMRTotal",#N/A,FALSE,"SMR";"CNSTotal",#N/A,FALSE,"CNS";"REGTotal",#N/A,FALSE,"REG";"ALTTotal",#N/A,FALSE,"ALT";"PMTTotal",#N/A,FALSE,"PMT";"CPSTotal",#N/A,FALSE,"CPS";"SERTotal",#N/A,FALSE,"SER";"TATTotal",#N/A,FALSE,"TAT";"BILTotal",#N/A,FALSE,"BIL";"FINTotal",#N/A,FALSE,"FIN";"HRSTotal",#N/A,FALSE,"HRS";"CEOTotal",#N/A,FALSE,"CEO";"STPTotal",#N/A,FALSE,"STP";"ELITotal",#N/A,FALSE,"ELI";"OTHTotal",#N/A,FALSE,"OTH";"CTGTotal",#N/A,FALSE,"CTG";"CENTotal",#N/A,FALSE,"CEN";"TOTTotal",#N/A,FALSE,"TOT"}</definedName>
    <definedName name="wrn.Total._.Proved." hidden="1">{"Total",#N/A,FALSE,"Total Proved";"PDP",#N/A,FALSE,"Total Proved";"PNP",#N/A,FALSE,"Total Proved";"PUD",#N/A,FALSE,"Total Proved"}</definedName>
    <definedName name="wrn.Total._.Proved._.plus._.Probable." hidden="1">{"Total",#N/A,FALSE,"Total Proved + Probable";"PDP",#N/A,FALSE,"Total Proved + Probable";"PNP",#N/A,FALSE,"Total Proved + Probable";"PUD",#N/A,FALSE,"Total Proved + Probable";"Prob",#N/A,FALSE,"Total Proved + Probable"}</definedName>
    <definedName name="wrn.total.1" hidden="1">{"MAJTotal",#N/A,FALSE,"MAJ";"BISTotal",#N/A,FALSE,"BIS";"SMETotal",#N/A,FALSE,"SME";"SMMTotal",#N/A,FALSE,"SMM";"SMPTotal",#N/A,FALSE,"SMP";"SMCTotal",#N/A,FALSE,"SMC";"SMRTotal",#N/A,FALSE,"SMR";"CNSTotal",#N/A,FALSE,"CNS";"REGTotal",#N/A,FALSE,"REG";"ALTTotal",#N/A,FALSE,"ALT";"PMTTotal",#N/A,FALSE,"PMT";"CPSTotal",#N/A,FALSE,"CPS";"SERTotal",#N/A,FALSE,"SER";"TATTotal",#N/A,FALSE,"TAT";"BILTotal",#N/A,FALSE,"BIL";"FINTotal",#N/A,FALSE,"FIN";"HRSTotal",#N/A,FALSE,"HRS";"CEOTotal",#N/A,FALSE,"CEO";"STPTotal",#N/A,FALSE,"STP";"ELITotal",#N/A,FALSE,"ELI";"OTHTotal",#N/A,FALSE,"OTH";"CTGTotal",#N/A,FALSE,"CTG";"CENTotal",#N/A,FALSE,"CEN";"TOTTotal",#N/A,FALSE,"TOT"}</definedName>
    <definedName name="wrn.trademark._.and._.trade._.name." hidden="1">{"trademark1",#N/A,FALSE,"Trademark(s) and Trade Name(s)"}</definedName>
    <definedName name="wrn.TransPrcd_123." hidden="1">{#N/A,#N/A,TRUE,"TransPrcd 1";#N/A,#N/A,TRUE,"TransPrcd 2";#N/A,#N/A,TRUE,"TransPrcd 3"}</definedName>
    <definedName name="wrn.upstairs." hidden="1">{"histincome",#N/A,FALSE,"hyfins";"closing balance",#N/A,FALSE,"hyfins"}</definedName>
    <definedName name="wrn.VALUATION." hidden="1">{#N/A,#N/A,FALSE,"Valuation Assumptions";#N/A,#N/A,FALSE,"Summary";#N/A,#N/A,FALSE,"DCF";#N/A,#N/A,FALSE,"Valuation";#N/A,#N/A,FALSE,"WACC";#N/A,#N/A,FALSE,"UBVH";#N/A,#N/A,FALSE,"Free Cash Flow"}</definedName>
    <definedName name="wrn.Weekly._.Scrap._.Report." hidden="1">{#N/A,#N/A,TRUE,"GEM Total";#N/A,#N/A,TRUE,"Final Assembly";#N/A,#N/A,TRUE,"Cleaning";#N/A,#N/A,TRUE,"Schooping,Clearing";#N/A,#N/A,TRUE,"Winding"}</definedName>
    <definedName name="wrn.weekly._.scrap._.report..." hidden="1">{#N/A,#N/A,TRUE,"GEM Total";#N/A,#N/A,TRUE,"Final Assembly";#N/A,#N/A,TRUE,"Cleaning";#N/A,#N/A,TRUE,"Schooping,Clearing";#N/A,#N/A,TRUE,"Winding"}</definedName>
    <definedName name="wrn.wicor." hidden="1">{#N/A,#N/A,FALSE,"FACTSHEETS";#N/A,#N/A,FALSE,"pump";#N/A,#N/A,FALSE,"filter"}</definedName>
    <definedName name="wrn.work._.paper._.shcedules." hidden="1">{"summary1",#N/A,FALSE,"Summary of Values";"summary2",#N/A,FALSE,"Summary of Values";"weighted average returns",#N/A,FALSE,"WACC and WARA";"fixed asset detail",#N/A,FALSE,"Fixed Asset Detail"}</definedName>
    <definedName name="wrn1.summary" hidden="1">{#N/A,#N/A,TRUE,"KEY DATA";#N/A,#N/A,TRUE,"KEY DATA Base Case";#N/A,#N/A,TRUE,"JULY";#N/A,#N/A,TRUE,"AUG";#N/A,#N/A,TRUE,"SEPT";#N/A,#N/A,TRUE,"3Q"}</definedName>
    <definedName name="wrn1.summary.." hidden="1">{#N/A,#N/A,TRUE,"KEY DATA";#N/A,#N/A,TRUE,"KEY DATA Base Case";#N/A,#N/A,TRUE,"JULY";#N/A,#N/A,TRUE,"AUG";#N/A,#N/A,TRUE,"SEPT";#N/A,#N/A,TRUE,"3Q"}</definedName>
    <definedName name="ww" hidden="1">{"february96",#N/A,FALSE,"report"}</definedName>
    <definedName name="wwww"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x" hidden="1">{"february96",#N/A,FALSE,"report"}</definedName>
    <definedName name="xdfsd" hidden="1">{#N/A,#N/A,TRUE,"Acquirer_Cases_Input";#N/A,#N/A,TRUE,"Acquirer_Input";#N/A,#N/A,TRUE,"Acquirer"}</definedName>
    <definedName name="xx" hidden="1">{"summary1",#N/A,FALSE,"Summary of Values";"summary2",#N/A,FALSE,"Summary of Values"}</definedName>
    <definedName name="xxx" hidden="1">{"developed valuation",#N/A,FALSE,"Valuation Analysis";"developed income statement",#N/A,FALSE,"Abbreviated Income Statement";"inprocess valuation",#N/A,FALSE,"Valuation Analysis";"inprocess income statement",#N/A,FALSE,"Abbreviated Income Statement"}</definedName>
    <definedName name="xxxx" hidden="1">{"CSheet",#N/A,FALSE,"C";"SmCap",#N/A,FALSE,"VAL1";"GulfCoast",#N/A,FALSE,"VAL1";"nav",#N/A,FALSE,"NAV";"Summary",#N/A,FALSE,"NAV"}</definedName>
    <definedName name="xxxxx" hidden="1">{"Total",#N/A,FALSE,"Total Proved";"PDP",#N/A,FALSE,"Total Proved";"PNP",#N/A,FALSE,"Total Proved";"PUD",#N/A,FALSE,"Total Proved"}</definedName>
    <definedName name="xxxxxx" hidden="1">{"Total",#N/A,FALSE,"Total Proved + Probable";"PDP",#N/A,FALSE,"Total Proved + Probable";"PNP",#N/A,FALSE,"Total Proved + Probable";"PUD",#N/A,FALSE,"Total Proved + Probable";"Prob",#N/A,FALSE,"Total Proved + Probable"}</definedName>
    <definedName name="xxxxxxx" hidden="1">{"trademark1",#N/A,FALSE,"Trademark(s) and Trade Name(s)"}</definedName>
    <definedName name="xxxxxxxx" hidden="1">{"histincome",#N/A,FALSE,"hyfins";"closing balance",#N/A,FALSE,"hyfins"}</definedName>
    <definedName name="xyz" hidden="1">{"histincome",#N/A,FALSE,"hyfins";"closing balance",#N/A,FALSE,"hyfins"}</definedName>
    <definedName name="y" hidden="1">{"november95",#N/A,FALSE,"report"}</definedName>
    <definedName name="yb" hidden="1">{#N/A,#N/A,FALSE,"ww";#N/A,#N/A,FALSE,"usa";#N/A,#N/A,FALSE,"canada";#N/A,#N/A,FALSE,"eu";#N/A,#N/A,FALSE,"cemea";#N/A,#N/A,FALSE,"asia";#N/A,#N/A,FALSE,"la"}</definedName>
    <definedName name="ybg" hidden="1">{"november95",#N/A,FALSE,"report"}</definedName>
    <definedName name="youh" hidden="1">{#N/A,#N/A,FALSE,"AD_Purchase";#N/A,#N/A,FALSE,"Credit";#N/A,#N/A,FALSE,"PF Acquisition";#N/A,#N/A,FALSE,"PF Offering"}</definedName>
    <definedName name="YTDVarianceKey">"Object 4"</definedName>
    <definedName name="ytr" hidden="1">{"february96",#N/A,FALSE,"report"}</definedName>
    <definedName name="yy" hidden="1">{#N/A,#N/A,TRUE,"Acquirer_Cases_Input";#N/A,#N/A,TRUE,"Acquirer_Input";#N/A,#N/A,TRUE,"Acquirer"}</definedName>
    <definedName name="yyy" hidden="1">{#N/A,#N/A,TRUE,"Fiber_Optic_Cable_Input ";#N/A,#N/A,TRUE,"Specialty_Fiber_Devices_Input";#N/A,#N/A,TRUE,"Optical_Fiber_Apparatus_Input"}</definedName>
    <definedName name="yyyyy"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z" hidden="1">{"february96",#N/A,FALSE,"report"}</definedName>
    <definedName name="zdf" hidden="1">{#N/A,#N/A,TRUE,"Falcons_Standalone";#N/A,#N/A,TRUE,"Target_Input";#N/A,#N/A,TRUE,"Target_Calendarized"}</definedName>
    <definedName name="zz" hidden="1">{"summary1",#N/A,FALSE,"Summary of Values";"summary2",#N/A,FALSE,"Summary of Values";"weighted average returns",#N/A,FALSE,"WACC and WARA";"fixed asset detail",#N/A,FALSE,"Fixed Asset Detail"}</definedName>
    <definedName name="zzz" hidden="1">{#N/A,#N/A,TRUE,"GEM Total";#N/A,#N/A,TRUE,"Final Assembly";#N/A,#N/A,TRUE,"Cleaning";#N/A,#N/A,TRUE,"Schooping,Clearing";#N/A,#N/A,TRUE,"Winding"}</definedName>
    <definedName name="zzz.." hidden="1">{#N/A,#N/A,TRUE,"GEM Total";#N/A,#N/A,TRUE,"Final Assembly";#N/A,#N/A,TRUE,"Cleaning";#N/A,#N/A,TRUE,"Schooping,Clearing";#N/A,#N/A,TRUE,"Winding"}</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9" i="3" l="1"/>
  <c r="M69" i="3"/>
  <c r="L69" i="3"/>
  <c r="K69" i="3"/>
  <c r="J69" i="3"/>
  <c r="I69" i="3"/>
  <c r="H69" i="3"/>
  <c r="G69" i="3"/>
  <c r="F69" i="3"/>
  <c r="E69" i="3"/>
  <c r="O69" i="3" s="1"/>
  <c r="N68" i="3"/>
  <c r="O68" i="3" s="1"/>
  <c r="M68" i="3"/>
  <c r="L68" i="3"/>
  <c r="K68" i="3"/>
  <c r="J68" i="3"/>
  <c r="I68" i="3"/>
  <c r="H68" i="3"/>
  <c r="G68" i="3"/>
  <c r="F68" i="3"/>
  <c r="E68" i="3"/>
  <c r="N67" i="3"/>
  <c r="N65" i="3" s="1"/>
  <c r="M67" i="3"/>
  <c r="M65" i="3" s="1"/>
  <c r="L67" i="3"/>
  <c r="N13" i="2" s="1"/>
  <c r="K67" i="3"/>
  <c r="M13" i="2" s="1"/>
  <c r="J67" i="3"/>
  <c r="I67" i="3"/>
  <c r="H67" i="3"/>
  <c r="G67" i="3"/>
  <c r="F67" i="3"/>
  <c r="E67" i="3"/>
  <c r="N66" i="3"/>
  <c r="M66" i="3"/>
  <c r="L66" i="3"/>
  <c r="L65" i="3" s="1"/>
  <c r="K66" i="3"/>
  <c r="K65" i="3" s="1"/>
  <c r="J66" i="3"/>
  <c r="J65" i="3" s="1"/>
  <c r="I66" i="3"/>
  <c r="K10" i="2" s="1"/>
  <c r="K37" i="2" s="1"/>
  <c r="H66" i="3"/>
  <c r="J10" i="2" s="1"/>
  <c r="J37" i="2" s="1"/>
  <c r="G66" i="3"/>
  <c r="F66" i="3"/>
  <c r="E66" i="3"/>
  <c r="G65" i="3"/>
  <c r="F65" i="3"/>
  <c r="E65" i="3"/>
  <c r="G4" i="2" s="1"/>
  <c r="G3" i="2" s="1"/>
  <c r="M62" i="3"/>
  <c r="J62" i="3"/>
  <c r="H61" i="3"/>
  <c r="E61" i="3"/>
  <c r="O56" i="3"/>
  <c r="O55" i="3"/>
  <c r="O54" i="3"/>
  <c r="O53" i="3"/>
  <c r="O52" i="3"/>
  <c r="N52" i="3"/>
  <c r="M52" i="3"/>
  <c r="L52" i="3"/>
  <c r="K52" i="3"/>
  <c r="J52" i="3"/>
  <c r="I52" i="3"/>
  <c r="H52" i="3"/>
  <c r="G52" i="3"/>
  <c r="F52" i="3"/>
  <c r="E52" i="3"/>
  <c r="N50" i="3"/>
  <c r="N63" i="3" s="1"/>
  <c r="P15" i="2" s="1"/>
  <c r="M50" i="3"/>
  <c r="M63" i="3" s="1"/>
  <c r="O15" i="2" s="1"/>
  <c r="L50" i="3"/>
  <c r="L63" i="3" s="1"/>
  <c r="K50" i="3"/>
  <c r="K63" i="3" s="1"/>
  <c r="J50" i="3"/>
  <c r="J63" i="3" s="1"/>
  <c r="L15" i="2" s="1"/>
  <c r="I50" i="3"/>
  <c r="I63" i="3" s="1"/>
  <c r="K15" i="2" s="1"/>
  <c r="H50" i="3"/>
  <c r="H63" i="3" s="1"/>
  <c r="J15" i="2" s="1"/>
  <c r="G50" i="3"/>
  <c r="G63" i="3" s="1"/>
  <c r="F50" i="3"/>
  <c r="E50" i="3"/>
  <c r="E63" i="3" s="1"/>
  <c r="N49" i="3"/>
  <c r="M49" i="3"/>
  <c r="L49" i="3"/>
  <c r="K49" i="3"/>
  <c r="J49" i="3"/>
  <c r="I49" i="3"/>
  <c r="I62" i="3" s="1"/>
  <c r="H49" i="3"/>
  <c r="H62" i="3" s="1"/>
  <c r="G49" i="3"/>
  <c r="G62" i="3" s="1"/>
  <c r="F49" i="3"/>
  <c r="H71" i="2" s="1"/>
  <c r="E49" i="3"/>
  <c r="E46" i="3" s="1"/>
  <c r="N48" i="3"/>
  <c r="N61" i="3" s="1"/>
  <c r="P12" i="2" s="1"/>
  <c r="M48" i="3"/>
  <c r="M61" i="3" s="1"/>
  <c r="O12" i="2" s="1"/>
  <c r="L48" i="3"/>
  <c r="K48" i="3"/>
  <c r="K61" i="3" s="1"/>
  <c r="M12" i="2" s="1"/>
  <c r="J48" i="3"/>
  <c r="J61" i="3" s="1"/>
  <c r="L12" i="2" s="1"/>
  <c r="I48" i="3"/>
  <c r="H48" i="3"/>
  <c r="G48" i="3"/>
  <c r="F48" i="3"/>
  <c r="E48" i="3"/>
  <c r="O48" i="3" s="1"/>
  <c r="N47" i="3"/>
  <c r="N60" i="3" s="1"/>
  <c r="M47" i="3"/>
  <c r="M60" i="3" s="1"/>
  <c r="L47" i="3"/>
  <c r="L60" i="3" s="1"/>
  <c r="K47" i="3"/>
  <c r="K60" i="3" s="1"/>
  <c r="J47" i="3"/>
  <c r="J60" i="3" s="1"/>
  <c r="I47" i="3"/>
  <c r="I60" i="3" s="1"/>
  <c r="H47" i="3"/>
  <c r="H60" i="3" s="1"/>
  <c r="G47" i="3"/>
  <c r="F47" i="3"/>
  <c r="F60" i="3" s="1"/>
  <c r="E47" i="3"/>
  <c r="E60" i="3" s="1"/>
  <c r="I46" i="3"/>
  <c r="G46" i="3"/>
  <c r="F46" i="3"/>
  <c r="O43" i="3"/>
  <c r="O42" i="3"/>
  <c r="O41" i="3"/>
  <c r="O40" i="3"/>
  <c r="N39" i="3"/>
  <c r="M39" i="3"/>
  <c r="L39" i="3"/>
  <c r="K39" i="3"/>
  <c r="J39" i="3"/>
  <c r="O39" i="3" s="1"/>
  <c r="P39" i="3" s="1"/>
  <c r="I39" i="3"/>
  <c r="H39" i="3"/>
  <c r="G39" i="3"/>
  <c r="F39" i="3"/>
  <c r="E39" i="3"/>
  <c r="N37" i="3"/>
  <c r="M37" i="3"/>
  <c r="L37" i="3"/>
  <c r="K37" i="3"/>
  <c r="J37" i="3"/>
  <c r="I37" i="3"/>
  <c r="H37" i="3"/>
  <c r="G37" i="3"/>
  <c r="F37" i="3"/>
  <c r="H99" i="2" s="1"/>
  <c r="E37" i="3"/>
  <c r="G99" i="2" s="1"/>
  <c r="N36" i="3"/>
  <c r="M36" i="3"/>
  <c r="L36" i="3"/>
  <c r="K36" i="3"/>
  <c r="J36" i="3"/>
  <c r="I36" i="3"/>
  <c r="H36" i="3"/>
  <c r="G36" i="3"/>
  <c r="F36" i="3"/>
  <c r="E36" i="3"/>
  <c r="O36" i="3" s="1"/>
  <c r="N35" i="3"/>
  <c r="N33" i="3" s="1"/>
  <c r="M35" i="3"/>
  <c r="L35" i="3"/>
  <c r="L33" i="3" s="1"/>
  <c r="K35" i="3"/>
  <c r="O35" i="3" s="1"/>
  <c r="J35" i="3"/>
  <c r="I35" i="3"/>
  <c r="H35" i="3"/>
  <c r="G35" i="3"/>
  <c r="F35" i="3"/>
  <c r="E35" i="3"/>
  <c r="N34" i="3"/>
  <c r="M34" i="3"/>
  <c r="M33" i="3" s="1"/>
  <c r="L34" i="3"/>
  <c r="K34" i="3"/>
  <c r="K33" i="3" s="1"/>
  <c r="J34" i="3"/>
  <c r="J33" i="3" s="1"/>
  <c r="I34" i="3"/>
  <c r="I33" i="3" s="1"/>
  <c r="H34" i="3"/>
  <c r="H33" i="3" s="1"/>
  <c r="G34" i="3"/>
  <c r="G60" i="3" s="1"/>
  <c r="F34" i="3"/>
  <c r="F33" i="3" s="1"/>
  <c r="E34" i="3"/>
  <c r="O34" i="3" s="1"/>
  <c r="O30" i="3"/>
  <c r="O29" i="3"/>
  <c r="A29" i="3"/>
  <c r="O28" i="3"/>
  <c r="O27" i="3"/>
  <c r="N26" i="3"/>
  <c r="M26" i="3"/>
  <c r="L26" i="3"/>
  <c r="K26" i="3"/>
  <c r="J26" i="3"/>
  <c r="I26" i="3"/>
  <c r="H26" i="3"/>
  <c r="G26" i="3"/>
  <c r="F26" i="3"/>
  <c r="E26" i="3"/>
  <c r="O26" i="3" s="1"/>
  <c r="N24" i="3"/>
  <c r="M24" i="3"/>
  <c r="L24" i="3"/>
  <c r="K24" i="3"/>
  <c r="J24" i="3"/>
  <c r="I24" i="3"/>
  <c r="H24" i="3"/>
  <c r="G24" i="3"/>
  <c r="F24" i="3"/>
  <c r="E24" i="3"/>
  <c r="O24" i="3" s="1"/>
  <c r="N23" i="3"/>
  <c r="N62" i="3" s="1"/>
  <c r="M23" i="3"/>
  <c r="L23" i="3"/>
  <c r="N70" i="2" s="1"/>
  <c r="K23" i="3"/>
  <c r="K20" i="3" s="1"/>
  <c r="J23" i="3"/>
  <c r="I23" i="3"/>
  <c r="H23" i="3"/>
  <c r="G23" i="3"/>
  <c r="F23" i="3"/>
  <c r="E23" i="3"/>
  <c r="N22" i="3"/>
  <c r="M22" i="3"/>
  <c r="L22" i="3"/>
  <c r="K22" i="3"/>
  <c r="J22" i="3"/>
  <c r="J20" i="3" s="1"/>
  <c r="I22" i="3"/>
  <c r="I20" i="3" s="1"/>
  <c r="H22" i="3"/>
  <c r="G22" i="3"/>
  <c r="G20" i="3" s="1"/>
  <c r="F22" i="3"/>
  <c r="F20" i="3" s="1"/>
  <c r="E22" i="3"/>
  <c r="O22" i="3" s="1"/>
  <c r="N21" i="3"/>
  <c r="M21" i="3"/>
  <c r="L21" i="3"/>
  <c r="K21" i="3"/>
  <c r="J21" i="3"/>
  <c r="I21" i="3"/>
  <c r="H21" i="3"/>
  <c r="H20" i="3" s="1"/>
  <c r="G21" i="3"/>
  <c r="F21" i="3"/>
  <c r="E21" i="3"/>
  <c r="O21" i="3" s="1"/>
  <c r="M20" i="3"/>
  <c r="L20" i="3"/>
  <c r="H18" i="3"/>
  <c r="G18" i="3"/>
  <c r="J12" i="3"/>
  <c r="J11" i="3"/>
  <c r="J10" i="3"/>
  <c r="J9" i="3"/>
  <c r="F5" i="3"/>
  <c r="I3" i="3"/>
  <c r="F18" i="3" s="1"/>
  <c r="G3" i="3"/>
  <c r="A28" i="3" s="1"/>
  <c r="O116" i="2"/>
  <c r="O117" i="2" s="1"/>
  <c r="P109" i="2"/>
  <c r="P116" i="2" s="1"/>
  <c r="P117" i="2" s="1"/>
  <c r="O109" i="2"/>
  <c r="N109" i="2"/>
  <c r="N116" i="2" s="1"/>
  <c r="M109" i="2"/>
  <c r="M116" i="2" s="1"/>
  <c r="M117" i="2" s="1"/>
  <c r="L109" i="2"/>
  <c r="L116" i="2" s="1"/>
  <c r="K109" i="2"/>
  <c r="K116" i="2" s="1"/>
  <c r="J109" i="2"/>
  <c r="J116" i="2" s="1"/>
  <c r="I109" i="2"/>
  <c r="I116" i="2" s="1"/>
  <c r="H109" i="2"/>
  <c r="H116" i="2" s="1"/>
  <c r="G109" i="2"/>
  <c r="G116" i="2" s="1"/>
  <c r="G104" i="2"/>
  <c r="G105" i="2" s="1"/>
  <c r="G111" i="2" s="1"/>
  <c r="P103" i="2"/>
  <c r="O103" i="2"/>
  <c r="O104" i="2" s="1"/>
  <c r="O105" i="2" s="1"/>
  <c r="N103" i="2"/>
  <c r="N104" i="2" s="1"/>
  <c r="N105" i="2" s="1"/>
  <c r="N111" i="2" s="1"/>
  <c r="M103" i="2"/>
  <c r="L103" i="2"/>
  <c r="L104" i="2" s="1"/>
  <c r="L105" i="2" s="1"/>
  <c r="K103" i="2"/>
  <c r="K104" i="2" s="1"/>
  <c r="K105" i="2" s="1"/>
  <c r="J103" i="2"/>
  <c r="J104" i="2" s="1"/>
  <c r="J105" i="2" s="1"/>
  <c r="I103" i="2"/>
  <c r="I104" i="2" s="1"/>
  <c r="I105" i="2" s="1"/>
  <c r="I111" i="2" s="1"/>
  <c r="H103" i="2"/>
  <c r="H104" i="2" s="1"/>
  <c r="H105" i="2" s="1"/>
  <c r="G103" i="2"/>
  <c r="P99" i="2"/>
  <c r="O99" i="2"/>
  <c r="L99" i="2"/>
  <c r="K99" i="2"/>
  <c r="J99" i="2"/>
  <c r="I99" i="2"/>
  <c r="P98" i="2"/>
  <c r="P100" i="2" s="1"/>
  <c r="P101" i="2" s="1"/>
  <c r="P110" i="2" s="1"/>
  <c r="O98" i="2"/>
  <c r="O100" i="2" s="1"/>
  <c r="O101" i="2" s="1"/>
  <c r="O110" i="2" s="1"/>
  <c r="N98" i="2"/>
  <c r="N100" i="2" s="1"/>
  <c r="N101" i="2" s="1"/>
  <c r="N110" i="2" s="1"/>
  <c r="M98" i="2"/>
  <c r="L98" i="2"/>
  <c r="K98" i="2"/>
  <c r="J98" i="2"/>
  <c r="I98" i="2"/>
  <c r="I100" i="2" s="1"/>
  <c r="I101" i="2" s="1"/>
  <c r="I110" i="2" s="1"/>
  <c r="H98" i="2"/>
  <c r="G98" i="2"/>
  <c r="G100" i="2" s="1"/>
  <c r="G101" i="2" s="1"/>
  <c r="G110" i="2" s="1"/>
  <c r="N91" i="2"/>
  <c r="N90" i="2"/>
  <c r="N89" i="2"/>
  <c r="P104" i="2" s="1"/>
  <c r="P105" i="2" s="1"/>
  <c r="N88" i="2"/>
  <c r="G86" i="2"/>
  <c r="H86" i="2" s="1"/>
  <c r="G85" i="2"/>
  <c r="H85" i="2" s="1"/>
  <c r="G84" i="2"/>
  <c r="H84" i="2" s="1"/>
  <c r="G83" i="2"/>
  <c r="N82" i="2"/>
  <c r="H82" i="2"/>
  <c r="G82" i="2"/>
  <c r="N81" i="2"/>
  <c r="H81" i="2"/>
  <c r="G81" i="2"/>
  <c r="N80" i="2"/>
  <c r="M100" i="2" s="1"/>
  <c r="M101" i="2" s="1"/>
  <c r="M110" i="2" s="1"/>
  <c r="G80" i="2"/>
  <c r="H80" i="2" s="1"/>
  <c r="N79" i="2"/>
  <c r="G79" i="2"/>
  <c r="H79" i="2" s="1"/>
  <c r="G78" i="2"/>
  <c r="H78" i="2" s="1"/>
  <c r="P71" i="2"/>
  <c r="O71" i="2"/>
  <c r="L71" i="2"/>
  <c r="K71" i="2"/>
  <c r="J71" i="2"/>
  <c r="I71" i="2"/>
  <c r="P70" i="2"/>
  <c r="O70" i="2"/>
  <c r="L70" i="2"/>
  <c r="K70" i="2"/>
  <c r="J70" i="2"/>
  <c r="G70" i="2"/>
  <c r="H69" i="2"/>
  <c r="I69" i="2" s="1"/>
  <c r="J69" i="2" s="1"/>
  <c r="K69" i="2" s="1"/>
  <c r="L69" i="2" s="1"/>
  <c r="M69" i="2" s="1"/>
  <c r="N69" i="2" s="1"/>
  <c r="O69" i="2" s="1"/>
  <c r="P69" i="2" s="1"/>
  <c r="H68" i="2"/>
  <c r="I68" i="2" s="1"/>
  <c r="M66" i="2"/>
  <c r="M67" i="2" s="1"/>
  <c r="P64" i="2"/>
  <c r="O64" i="2"/>
  <c r="N64" i="2"/>
  <c r="M64" i="2"/>
  <c r="L64" i="2"/>
  <c r="K64" i="2"/>
  <c r="J64" i="2"/>
  <c r="I64" i="2"/>
  <c r="H64" i="2"/>
  <c r="G64" i="2"/>
  <c r="P63" i="2"/>
  <c r="O63" i="2"/>
  <c r="N63" i="2"/>
  <c r="M63" i="2"/>
  <c r="L63" i="2"/>
  <c r="K63" i="2"/>
  <c r="J63" i="2"/>
  <c r="I63" i="2"/>
  <c r="H63" i="2"/>
  <c r="G63" i="2"/>
  <c r="F61" i="2"/>
  <c r="F60" i="2"/>
  <c r="P59" i="2"/>
  <c r="O59" i="2"/>
  <c r="N59" i="2"/>
  <c r="M59" i="2"/>
  <c r="L59" i="2"/>
  <c r="K59" i="2"/>
  <c r="J59" i="2"/>
  <c r="I59" i="2"/>
  <c r="H59" i="2"/>
  <c r="G59" i="2"/>
  <c r="N46" i="2"/>
  <c r="L46" i="2"/>
  <c r="K46" i="2"/>
  <c r="S45" i="2"/>
  <c r="H45" i="2"/>
  <c r="P38" i="2"/>
  <c r="O38" i="2"/>
  <c r="O33" i="2" s="1"/>
  <c r="N38" i="2"/>
  <c r="N33" i="2" s="1"/>
  <c r="M38" i="2"/>
  <c r="Q36" i="2"/>
  <c r="C34" i="2" s="1"/>
  <c r="Q35" i="2"/>
  <c r="Q34" i="2"/>
  <c r="P33" i="2"/>
  <c r="M33" i="2"/>
  <c r="C33" i="2"/>
  <c r="P32" i="2"/>
  <c r="O32" i="2"/>
  <c r="N32" i="2"/>
  <c r="M32" i="2"/>
  <c r="L32" i="2"/>
  <c r="K32" i="2"/>
  <c r="J32" i="2"/>
  <c r="I32" i="2"/>
  <c r="H32" i="2"/>
  <c r="Q32" i="2" s="1"/>
  <c r="G32" i="2"/>
  <c r="Q31" i="2"/>
  <c r="P31" i="2"/>
  <c r="O31" i="2"/>
  <c r="N31" i="2"/>
  <c r="M31" i="2"/>
  <c r="L31" i="2"/>
  <c r="K31" i="2"/>
  <c r="J31" i="2"/>
  <c r="I31" i="2"/>
  <c r="H31" i="2"/>
  <c r="G31" i="2"/>
  <c r="P30" i="2"/>
  <c r="O30" i="2"/>
  <c r="N30" i="2"/>
  <c r="M30" i="2"/>
  <c r="L30" i="2"/>
  <c r="K30" i="2"/>
  <c r="J30" i="2"/>
  <c r="I30" i="2"/>
  <c r="H30" i="2"/>
  <c r="G30" i="2"/>
  <c r="Q30" i="2" s="1"/>
  <c r="P29" i="2"/>
  <c r="O29" i="2"/>
  <c r="N29" i="2"/>
  <c r="M29" i="2"/>
  <c r="L29" i="2"/>
  <c r="K29" i="2"/>
  <c r="J29" i="2"/>
  <c r="I29" i="2"/>
  <c r="H29" i="2"/>
  <c r="G29" i="2"/>
  <c r="Q29" i="2" s="1"/>
  <c r="P28" i="2"/>
  <c r="P46" i="2" s="1"/>
  <c r="O28" i="2"/>
  <c r="O46" i="2" s="1"/>
  <c r="N28" i="2"/>
  <c r="M28" i="2"/>
  <c r="M46" i="2" s="1"/>
  <c r="L28" i="2"/>
  <c r="K28" i="2"/>
  <c r="J28" i="2"/>
  <c r="J46" i="2" s="1"/>
  <c r="I28" i="2"/>
  <c r="I46" i="2" s="1"/>
  <c r="H28" i="2"/>
  <c r="H46" i="2" s="1"/>
  <c r="G28" i="2"/>
  <c r="G46" i="2" s="1"/>
  <c r="Q27" i="2"/>
  <c r="P25" i="2"/>
  <c r="P118" i="2" s="1"/>
  <c r="O25" i="2"/>
  <c r="O118" i="2" s="1"/>
  <c r="N25" i="2"/>
  <c r="N66" i="2" s="1"/>
  <c r="N67" i="2" s="1"/>
  <c r="M25" i="2"/>
  <c r="M118" i="2" s="1"/>
  <c r="L25" i="2"/>
  <c r="L118" i="2" s="1"/>
  <c r="K25" i="2"/>
  <c r="K118" i="2" s="1"/>
  <c r="J25" i="2"/>
  <c r="J118" i="2" s="1"/>
  <c r="I25" i="2"/>
  <c r="I118" i="2" s="1"/>
  <c r="H25" i="2"/>
  <c r="H118" i="2" s="1"/>
  <c r="G25" i="2"/>
  <c r="G118" i="2" s="1"/>
  <c r="P23" i="2"/>
  <c r="O23" i="2"/>
  <c r="N23" i="2"/>
  <c r="M23" i="2"/>
  <c r="L23" i="2"/>
  <c r="K23" i="2"/>
  <c r="J23" i="2"/>
  <c r="I23" i="2"/>
  <c r="H23" i="2"/>
  <c r="G23" i="2"/>
  <c r="Q23" i="2" s="1"/>
  <c r="P22" i="2"/>
  <c r="O22" i="2"/>
  <c r="N22" i="2"/>
  <c r="M22" i="2"/>
  <c r="L22" i="2"/>
  <c r="K22" i="2"/>
  <c r="J22" i="2"/>
  <c r="I22" i="2"/>
  <c r="H22" i="2"/>
  <c r="G22" i="2"/>
  <c r="Q22" i="2" s="1"/>
  <c r="P20" i="2"/>
  <c r="O20" i="2"/>
  <c r="N20" i="2"/>
  <c r="M20" i="2"/>
  <c r="L20" i="2"/>
  <c r="K20" i="2"/>
  <c r="J20" i="2"/>
  <c r="I20" i="2"/>
  <c r="T32" i="2" s="1"/>
  <c r="H20" i="2"/>
  <c r="S32" i="2" s="1"/>
  <c r="G20" i="2"/>
  <c r="R32" i="2" s="1"/>
  <c r="P19" i="2"/>
  <c r="Q19" i="2" s="1"/>
  <c r="O19" i="2"/>
  <c r="O66" i="2" s="1"/>
  <c r="O67" i="2" s="1"/>
  <c r="N19" i="2"/>
  <c r="M19" i="2"/>
  <c r="L19" i="2"/>
  <c r="L66" i="2" s="1"/>
  <c r="L67" i="2" s="1"/>
  <c r="K19" i="2"/>
  <c r="J19" i="2"/>
  <c r="I19" i="2"/>
  <c r="I66" i="2" s="1"/>
  <c r="I67" i="2" s="1"/>
  <c r="H19" i="2"/>
  <c r="H66" i="2" s="1"/>
  <c r="H67" i="2" s="1"/>
  <c r="G19" i="2"/>
  <c r="C22" i="2" s="1"/>
  <c r="O16" i="2"/>
  <c r="N16" i="2"/>
  <c r="M16" i="2"/>
  <c r="L16" i="2"/>
  <c r="K16" i="2"/>
  <c r="J16" i="2"/>
  <c r="I16" i="2"/>
  <c r="H16" i="2"/>
  <c r="G16" i="2"/>
  <c r="C15" i="2"/>
  <c r="O13" i="2"/>
  <c r="L13" i="2"/>
  <c r="K13" i="2"/>
  <c r="J13" i="2"/>
  <c r="I13" i="2"/>
  <c r="H13" i="2"/>
  <c r="G13" i="2"/>
  <c r="J12" i="2"/>
  <c r="P10" i="2"/>
  <c r="O10" i="2"/>
  <c r="N10" i="2"/>
  <c r="M10" i="2"/>
  <c r="L10" i="2"/>
  <c r="L37" i="2" s="1"/>
  <c r="I10" i="2"/>
  <c r="I37" i="2" s="1"/>
  <c r="H10" i="2"/>
  <c r="H37" i="2" s="1"/>
  <c r="G10" i="2"/>
  <c r="I7" i="2"/>
  <c r="I44" i="2" s="1"/>
  <c r="H7" i="2"/>
  <c r="H44" i="2" s="1"/>
  <c r="H43" i="2" s="1"/>
  <c r="I4" i="2"/>
  <c r="H4" i="2"/>
  <c r="H3" i="2" s="1"/>
  <c r="I3" i="2"/>
  <c r="D25" i="1"/>
  <c r="D24" i="1"/>
  <c r="H22" i="1"/>
  <c r="D22" i="1"/>
  <c r="C4" i="2" s="1"/>
  <c r="E21" i="1"/>
  <c r="E18" i="1"/>
  <c r="L7" i="1"/>
  <c r="G3" i="1"/>
  <c r="C1" i="1"/>
  <c r="H59" i="3" l="1"/>
  <c r="J6" i="2" s="1"/>
  <c r="J9" i="2"/>
  <c r="P26" i="3"/>
  <c r="O9" i="2"/>
  <c r="M59" i="3"/>
  <c r="O6" i="2" s="1"/>
  <c r="H9" i="2"/>
  <c r="Q13" i="2"/>
  <c r="L38" i="2"/>
  <c r="I38" i="2"/>
  <c r="I60" i="2" s="1"/>
  <c r="I33" i="2"/>
  <c r="J38" i="2"/>
  <c r="P9" i="2"/>
  <c r="N59" i="3"/>
  <c r="P6" i="2" s="1"/>
  <c r="M9" i="2"/>
  <c r="N9" i="2"/>
  <c r="G117" i="2"/>
  <c r="Q46" i="2"/>
  <c r="P111" i="2"/>
  <c r="J117" i="2"/>
  <c r="Q10" i="2"/>
  <c r="I72" i="2"/>
  <c r="I26" i="2" s="1"/>
  <c r="I18" i="2" s="1"/>
  <c r="I40" i="2" s="1"/>
  <c r="J68" i="2"/>
  <c r="K117" i="2"/>
  <c r="O63" i="3"/>
  <c r="K111" i="2"/>
  <c r="O111" i="2"/>
  <c r="I9" i="2"/>
  <c r="H117" i="2"/>
  <c r="I117" i="2"/>
  <c r="H38" i="2"/>
  <c r="H33" i="2"/>
  <c r="L117" i="2"/>
  <c r="O60" i="3"/>
  <c r="G9" i="2"/>
  <c r="E59" i="3"/>
  <c r="I15" i="2"/>
  <c r="O7" i="2"/>
  <c r="O4" i="2"/>
  <c r="O3" i="2" s="1"/>
  <c r="P7" i="2"/>
  <c r="P4" i="2"/>
  <c r="P3" i="2" s="1"/>
  <c r="K38" i="2"/>
  <c r="K33" i="2" s="1"/>
  <c r="L7" i="2"/>
  <c r="L4" i="2"/>
  <c r="L3" i="2" s="1"/>
  <c r="N117" i="2"/>
  <c r="I59" i="3"/>
  <c r="K6" i="2" s="1"/>
  <c r="K9" i="2"/>
  <c r="M7" i="2"/>
  <c r="M4" i="2"/>
  <c r="M3" i="2" s="1"/>
  <c r="J59" i="3"/>
  <c r="L6" i="2" s="1"/>
  <c r="L9" i="2"/>
  <c r="N15" i="2"/>
  <c r="N4" i="2"/>
  <c r="N3" i="2" s="1"/>
  <c r="N7" i="2"/>
  <c r="G37" i="2"/>
  <c r="I45" i="2"/>
  <c r="I43" i="2" s="1"/>
  <c r="I47" i="2" s="1"/>
  <c r="M71" i="2"/>
  <c r="I73" i="2"/>
  <c r="N99" i="2"/>
  <c r="I18" i="3"/>
  <c r="N20" i="3"/>
  <c r="A30" i="3"/>
  <c r="H46" i="3"/>
  <c r="O46" i="3" s="1"/>
  <c r="A53" i="3"/>
  <c r="G61" i="3"/>
  <c r="I12" i="2" s="1"/>
  <c r="L62" i="3"/>
  <c r="G7" i="2"/>
  <c r="Q25" i="2"/>
  <c r="P66" i="2"/>
  <c r="P67" i="2" s="1"/>
  <c r="H70" i="2"/>
  <c r="H72" i="2" s="1"/>
  <c r="H26" i="2" s="1"/>
  <c r="H18" i="2" s="1"/>
  <c r="N71" i="2"/>
  <c r="J73" i="2"/>
  <c r="J18" i="3"/>
  <c r="A69" i="3"/>
  <c r="F61" i="3"/>
  <c r="H12" i="2" s="1"/>
  <c r="I70" i="2"/>
  <c r="K73" i="2"/>
  <c r="K18" i="3"/>
  <c r="O23" i="3"/>
  <c r="E33" i="3"/>
  <c r="J46" i="3"/>
  <c r="O47" i="3"/>
  <c r="A54" i="3"/>
  <c r="I61" i="3"/>
  <c r="K12" i="2" s="1"/>
  <c r="H65" i="3"/>
  <c r="O67" i="3"/>
  <c r="P52" i="3"/>
  <c r="L73" i="2"/>
  <c r="L18" i="3"/>
  <c r="K46" i="3"/>
  <c r="O50" i="3"/>
  <c r="I65" i="3"/>
  <c r="N118" i="2"/>
  <c r="P16" i="2"/>
  <c r="Q16" i="2" s="1"/>
  <c r="S16" i="2" s="1"/>
  <c r="M73" i="2"/>
  <c r="H83" i="2"/>
  <c r="H100" i="2"/>
  <c r="H101" i="2" s="1"/>
  <c r="H110" i="2" s="1"/>
  <c r="A9" i="3"/>
  <c r="M18" i="3"/>
  <c r="G33" i="3"/>
  <c r="L46" i="3"/>
  <c r="A55" i="3"/>
  <c r="A68" i="3"/>
  <c r="M99" i="2"/>
  <c r="G12" i="2"/>
  <c r="Q12" i="2" s="1"/>
  <c r="N73" i="2"/>
  <c r="N18" i="3"/>
  <c r="A40" i="3"/>
  <c r="M46" i="3"/>
  <c r="L61" i="3"/>
  <c r="N12" i="2" s="1"/>
  <c r="F63" i="3"/>
  <c r="O66" i="3"/>
  <c r="M70" i="2"/>
  <c r="O73" i="2"/>
  <c r="J100" i="2"/>
  <c r="J101" i="2" s="1"/>
  <c r="J110" i="2" s="1"/>
  <c r="A10" i="3"/>
  <c r="O18" i="3"/>
  <c r="N46" i="3"/>
  <c r="A56" i="3"/>
  <c r="P73" i="2"/>
  <c r="K100" i="2"/>
  <c r="K101" i="2" s="1"/>
  <c r="K110" i="2" s="1"/>
  <c r="M104" i="2"/>
  <c r="M105" i="2" s="1"/>
  <c r="M111" i="2" s="1"/>
  <c r="E20" i="3"/>
  <c r="O20" i="3" s="1"/>
  <c r="A41" i="3"/>
  <c r="A67" i="3"/>
  <c r="G66" i="2"/>
  <c r="L100" i="2"/>
  <c r="L101" i="2" s="1"/>
  <c r="L110" i="2" s="1"/>
  <c r="A11" i="3"/>
  <c r="O37" i="3"/>
  <c r="O49" i="3"/>
  <c r="K62" i="3"/>
  <c r="M15" i="2" s="1"/>
  <c r="G18" i="2"/>
  <c r="A42" i="3"/>
  <c r="E62" i="3"/>
  <c r="O62" i="3" s="1"/>
  <c r="O65" i="3"/>
  <c r="C16" i="2" s="1"/>
  <c r="C17" i="2" s="1"/>
  <c r="P13" i="2"/>
  <c r="G71" i="2"/>
  <c r="G72" i="2" s="1"/>
  <c r="G26" i="2" s="1"/>
  <c r="A12" i="3"/>
  <c r="A27" i="3"/>
  <c r="F62" i="3"/>
  <c r="A66" i="3"/>
  <c r="Q20" i="2"/>
  <c r="J66" i="2"/>
  <c r="J67" i="2" s="1"/>
  <c r="A43" i="3"/>
  <c r="Q28" i="2"/>
  <c r="K66" i="2"/>
  <c r="K67" i="2" s="1"/>
  <c r="E18" i="3"/>
  <c r="H40" i="2" l="1"/>
  <c r="H60" i="2"/>
  <c r="G6" i="2"/>
  <c r="L111" i="2"/>
  <c r="Q9" i="2"/>
  <c r="S9" i="2" s="1"/>
  <c r="L33" i="2"/>
  <c r="P67" i="3"/>
  <c r="C19" i="2" s="1"/>
  <c r="L59" i="3"/>
  <c r="N6" i="2" s="1"/>
  <c r="H111" i="2"/>
  <c r="J4" i="2"/>
  <c r="J3" i="2" s="1"/>
  <c r="J7" i="2"/>
  <c r="G38" i="2"/>
  <c r="Q38" i="2" s="1"/>
  <c r="Q37" i="2"/>
  <c r="L44" i="2"/>
  <c r="L45" i="2"/>
  <c r="S13" i="2"/>
  <c r="N44" i="2"/>
  <c r="N45" i="2"/>
  <c r="J72" i="2"/>
  <c r="J26" i="2" s="1"/>
  <c r="J18" i="2" s="1"/>
  <c r="J40" i="2" s="1"/>
  <c r="K68" i="2"/>
  <c r="G15" i="2"/>
  <c r="Q15" i="2" s="1"/>
  <c r="S15" i="2" s="1"/>
  <c r="I52" i="2"/>
  <c r="K59" i="3"/>
  <c r="M6" i="2" s="1"/>
  <c r="F59" i="3"/>
  <c r="H6" i="2" s="1"/>
  <c r="P66" i="3"/>
  <c r="C18" i="2" s="1"/>
  <c r="S25" i="2"/>
  <c r="H15" i="2"/>
  <c r="G45" i="2"/>
  <c r="Q7" i="2"/>
  <c r="S7" i="2" s="1"/>
  <c r="G44" i="2"/>
  <c r="Q4" i="2"/>
  <c r="S10" i="2"/>
  <c r="G67" i="2"/>
  <c r="Q67" i="2" s="1"/>
  <c r="Q66" i="2"/>
  <c r="O33" i="3"/>
  <c r="J111" i="2"/>
  <c r="P69" i="3"/>
  <c r="C21" i="2" s="1"/>
  <c r="J33" i="2"/>
  <c r="O61" i="3"/>
  <c r="S12" i="2" s="1"/>
  <c r="K4" i="2"/>
  <c r="K3" i="2" s="1"/>
  <c r="K7" i="2"/>
  <c r="M44" i="2"/>
  <c r="M45" i="2"/>
  <c r="P44" i="2"/>
  <c r="P45" i="2"/>
  <c r="O44" i="2"/>
  <c r="O45" i="2"/>
  <c r="G59" i="3"/>
  <c r="I6" i="2" s="1"/>
  <c r="I53" i="2" s="1"/>
  <c r="P68" i="3"/>
  <c r="C20" i="2" s="1"/>
  <c r="J52" i="2" l="1"/>
  <c r="J53" i="2"/>
  <c r="O59" i="3"/>
  <c r="K72" i="2"/>
  <c r="K26" i="2" s="1"/>
  <c r="K18" i="2" s="1"/>
  <c r="L68" i="2"/>
  <c r="Q6" i="2"/>
  <c r="S6" i="2" s="1"/>
  <c r="G43" i="2"/>
  <c r="P43" i="2"/>
  <c r="K44" i="2"/>
  <c r="Q44" i="2" s="1"/>
  <c r="K45" i="2"/>
  <c r="G33" i="2"/>
  <c r="G40" i="2" s="1"/>
  <c r="M43" i="2"/>
  <c r="H52" i="2"/>
  <c r="H53" i="2"/>
  <c r="H47" i="2"/>
  <c r="O43" i="2"/>
  <c r="N43" i="2"/>
  <c r="L43" i="2"/>
  <c r="C35" i="2"/>
  <c r="C36" i="2" s="1"/>
  <c r="Q33" i="2"/>
  <c r="J44" i="2"/>
  <c r="J45" i="2"/>
  <c r="Q45" i="2" s="1"/>
  <c r="H54" i="2" l="1"/>
  <c r="G41" i="2"/>
  <c r="H41" i="2" s="1"/>
  <c r="I41" i="2" s="1"/>
  <c r="J41" i="2" s="1"/>
  <c r="G54" i="2"/>
  <c r="I54" i="2"/>
  <c r="J54" i="2"/>
  <c r="G52" i="2"/>
  <c r="G53" i="2"/>
  <c r="K54" i="2"/>
  <c r="G47" i="2"/>
  <c r="Q43" i="2"/>
  <c r="G60" i="2"/>
  <c r="L72" i="2"/>
  <c r="L26" i="2" s="1"/>
  <c r="M68" i="2"/>
  <c r="J43" i="2"/>
  <c r="K40" i="2"/>
  <c r="K43" i="2"/>
  <c r="K47" i="2" s="1"/>
  <c r="C24" i="2"/>
  <c r="L15" i="1"/>
  <c r="L13" i="1"/>
  <c r="R2" i="2"/>
  <c r="S2" i="2" s="1"/>
  <c r="G74" i="2" l="1"/>
  <c r="H73" i="2"/>
  <c r="G73" i="2"/>
  <c r="Q73" i="2" s="1"/>
  <c r="S73" i="2" s="1"/>
  <c r="G48" i="2"/>
  <c r="H48" i="2" s="1"/>
  <c r="I48" i="2" s="1"/>
  <c r="C29" i="2"/>
  <c r="L11" i="1" s="1"/>
  <c r="K60" i="2"/>
  <c r="K52" i="2"/>
  <c r="K53" i="2"/>
  <c r="J47" i="2"/>
  <c r="J60" i="2"/>
  <c r="M72" i="2"/>
  <c r="M26" i="2" s="1"/>
  <c r="M18" i="2" s="1"/>
  <c r="N68" i="2"/>
  <c r="L18" i="2"/>
  <c r="K41" i="2"/>
  <c r="G61" i="2"/>
  <c r="L40" i="2" l="1"/>
  <c r="L60" i="2"/>
  <c r="N72" i="2"/>
  <c r="N26" i="2" s="1"/>
  <c r="N18" i="2" s="1"/>
  <c r="O68" i="2"/>
  <c r="M40" i="2"/>
  <c r="M60" i="2"/>
  <c r="J48" i="2"/>
  <c r="K48" i="2" s="1"/>
  <c r="H61" i="2"/>
  <c r="G56" i="2"/>
  <c r="G50" i="2" s="1"/>
  <c r="L41" i="2"/>
  <c r="M41" i="2" s="1"/>
  <c r="J74" i="2"/>
  <c r="I74" i="2"/>
  <c r="H74" i="2"/>
  <c r="N41" i="2" l="1"/>
  <c r="I61" i="2"/>
  <c r="H56" i="2"/>
  <c r="H50" i="2" s="1"/>
  <c r="Q61" i="2"/>
  <c r="Q56" i="2" s="1"/>
  <c r="L9" i="1"/>
  <c r="L5" i="1" s="1"/>
  <c r="M52" i="2"/>
  <c r="M53" i="2"/>
  <c r="M47" i="2"/>
  <c r="O72" i="2"/>
  <c r="O26" i="2" s="1"/>
  <c r="O18" i="2" s="1"/>
  <c r="P68" i="2"/>
  <c r="P72" i="2" s="1"/>
  <c r="P26" i="2" s="1"/>
  <c r="N40" i="2"/>
  <c r="N60" i="2"/>
  <c r="K74" i="2"/>
  <c r="L52" i="2"/>
  <c r="L53" i="2"/>
  <c r="L47" i="2"/>
  <c r="N54" i="2"/>
  <c r="M54" i="2"/>
  <c r="L54" i="2"/>
  <c r="P18" i="2" l="1"/>
  <c r="Q26" i="2"/>
  <c r="O40" i="2"/>
  <c r="O60" i="2"/>
  <c r="Q18" i="2"/>
  <c r="C23" i="2" s="1"/>
  <c r="C28" i="2" s="1"/>
  <c r="L48" i="2"/>
  <c r="M48" i="2" s="1"/>
  <c r="J61" i="2"/>
  <c r="I56" i="2"/>
  <c r="I50" i="2" s="1"/>
  <c r="O41" i="2"/>
  <c r="N52" i="2"/>
  <c r="N53" i="2"/>
  <c r="N47" i="2"/>
  <c r="L74" i="2"/>
  <c r="M74" i="2" l="1"/>
  <c r="Q74" i="2" s="1"/>
  <c r="C32" i="2" s="1"/>
  <c r="N74" i="2"/>
  <c r="O74" i="2"/>
  <c r="P74" i="2"/>
  <c r="K61" i="2"/>
  <c r="J56" i="2"/>
  <c r="J50" i="2" s="1"/>
  <c r="N48" i="2"/>
  <c r="O52" i="2"/>
  <c r="O53" i="2"/>
  <c r="O47" i="2"/>
  <c r="O54" i="2"/>
  <c r="P40" i="2"/>
  <c r="P41" i="2" s="1"/>
  <c r="P60" i="2"/>
  <c r="Q60" i="2" s="1"/>
  <c r="P54" i="2" l="1"/>
  <c r="Q54" i="2" s="1"/>
  <c r="K56" i="2"/>
  <c r="K50" i="2" s="1"/>
  <c r="L61" i="2"/>
  <c r="Q40" i="2"/>
  <c r="O48" i="2"/>
  <c r="P53" i="2"/>
  <c r="P52" i="2"/>
  <c r="P47" i="2"/>
  <c r="Q47" i="2" s="1"/>
  <c r="Q48" i="2" s="1"/>
  <c r="P48" i="2" l="1"/>
  <c r="Q53" i="2"/>
  <c r="O2" i="2"/>
  <c r="P2" i="2" s="1"/>
  <c r="C27" i="2"/>
  <c r="Q41" i="2"/>
  <c r="C25" i="2"/>
  <c r="C26" i="2" s="1"/>
  <c r="Q52" i="2"/>
  <c r="L56" i="2"/>
  <c r="L50" i="2" s="1"/>
  <c r="M61" i="2"/>
  <c r="M56" i="2" l="1"/>
  <c r="M50" i="2" s="1"/>
  <c r="N61" i="2"/>
  <c r="N56" i="2" l="1"/>
  <c r="N50" i="2" s="1"/>
  <c r="O61" i="2"/>
  <c r="O56" i="2" l="1"/>
  <c r="O50" i="2" s="1"/>
  <c r="P61" i="2"/>
  <c r="P56" i="2" s="1"/>
  <c r="P50" i="2" s="1"/>
  <c r="Q50" i="2" s="1"/>
</calcChain>
</file>

<file path=xl/sharedStrings.xml><?xml version="1.0" encoding="utf-8"?>
<sst xmlns="http://schemas.openxmlformats.org/spreadsheetml/2006/main" count="310" uniqueCount="235">
  <si>
    <t>Model Version</t>
  </si>
  <si>
    <t>Please fill all cells in Yellow</t>
  </si>
  <si>
    <t>Opportunity ID
(OPP-000XXXXXX)</t>
  </si>
  <si>
    <t>OPP-001060809</t>
  </si>
  <si>
    <t>Deal Owner (AE)</t>
  </si>
  <si>
    <t>Emma Attali</t>
  </si>
  <si>
    <t>Scenario Name</t>
  </si>
  <si>
    <t>MLS</t>
  </si>
  <si>
    <r>
      <rPr>
        <b/>
        <sz val="14"/>
        <color theme="1"/>
        <rFont val="Calibri"/>
        <family val="2"/>
        <scheme val="minor"/>
      </rPr>
      <t>Deal Checks</t>
    </r>
    <r>
      <rPr>
        <sz val="14"/>
        <color theme="1"/>
        <rFont val="Calibri"/>
        <family val="2"/>
        <scheme val="minor"/>
      </rPr>
      <t xml:space="preserve">
Please ensure all checks are green</t>
    </r>
  </si>
  <si>
    <t>Include Reason if exception</t>
  </si>
  <si>
    <t>Client Name</t>
  </si>
  <si>
    <t>Trading212 CKO LA</t>
  </si>
  <si>
    <t>Primary Market</t>
  </si>
  <si>
    <t>UK</t>
  </si>
  <si>
    <t>Cluster</t>
  </si>
  <si>
    <t>CI Ref (Finance to complete)</t>
  </si>
  <si>
    <t>FY25_421</t>
  </si>
  <si>
    <t>Executive Summary: (Background - Overview of Client &amp; Business Opportunity - What has triggered this request?)</t>
  </si>
  <si>
    <t xml:space="preserve">Checkout is bringing to Visa a list of 15 new merchants representing an annual incremental PV of €55BN for Visa
Checkout has provided information on volumes from existing merchants that Visa does not capture today, representing an annual incremental PV of €29BN for Visa. </t>
  </si>
  <si>
    <t>Within Fast Track</t>
  </si>
  <si>
    <t>Alignment with VE Corporate goals: (How does this deal support VE’s corporate goals?
)</t>
  </si>
  <si>
    <t>Increase PV volumes on card rails - Capture incremental PV and net revenues for Visa.</t>
  </si>
  <si>
    <t>Upfront &lt;$250K</t>
  </si>
  <si>
    <t xml:space="preserve">Win / Retain Strategy (What is the sales strategy? - Idea of what the amount and structure of incentives &amp; Client request?)
</t>
  </si>
  <si>
    <t>Winning new business with CKO and Liquid Assets merchants
Retaining key liquid assets merchants such as Interactive Investors whose volumes are declining (-46% from 2025 to 2024)</t>
  </si>
  <si>
    <t>Incentive Earn-Through and Contribution B/E by Year 3</t>
  </si>
  <si>
    <t xml:space="preserve">Key Benefits (What are the key reasons for approval?)
</t>
  </si>
  <si>
    <t>Incremental PV / Net revenues for Visa and issuers (on new merchants to card rails)
Supporting CKO to retain volumes on card rails with key merchants moving away from card rails because of AFT Pricing uncapped in that sector</t>
  </si>
  <si>
    <t>Discount on Core Fees &lt;=35%</t>
  </si>
  <si>
    <t>Key Commercial Concerns (What are the key concerns about this opportunity?)</t>
  </si>
  <si>
    <t>Total Incenitves  excl. IRR VAT &lt; $10M</t>
  </si>
  <si>
    <t>Provide exception why this deal should be within Fast Track</t>
  </si>
  <si>
    <t>What other factors should be considered? (Concerns about the client?)</t>
  </si>
  <si>
    <t>Upfront &lt; 25% of Total Incentives</t>
  </si>
  <si>
    <t>Please complete the following for Contract Management:</t>
  </si>
  <si>
    <t>Please complete the following Client information:</t>
  </si>
  <si>
    <t>Deal Term</t>
  </si>
  <si>
    <t>Client Full Name</t>
  </si>
  <si>
    <t>Any existing VD portfolio under contract?</t>
  </si>
  <si>
    <t>Yes</t>
  </si>
  <si>
    <t>Client Address</t>
  </si>
  <si>
    <t>If existing, when does the contract end?</t>
  </si>
  <si>
    <t>mm/yyyy</t>
  </si>
  <si>
    <t>Client Notice Address</t>
  </si>
  <si>
    <t>Start Date for the new deal (qtr beginning)</t>
  </si>
  <si>
    <t>CW Number</t>
  </si>
  <si>
    <t>End Date for the new deal (qtr ending)</t>
  </si>
  <si>
    <t>FY Number</t>
  </si>
  <si>
    <t>Break clause year (if any)</t>
  </si>
  <si>
    <t>BID Identifier</t>
  </si>
  <si>
    <t>Microsoft Dynamics Ref (OPP-000XXXXXX)</t>
  </si>
  <si>
    <t>Market Name (or Pan EU)?</t>
  </si>
  <si>
    <t>Sharepoint folder link for model and VDDR deck:</t>
  </si>
  <si>
    <t>https://visainc.sharepoint.com/:f:/r/sites/VDWPricingTemplateGroup/Shared%20Documents/AE%20Intake%20Form%20(VDC)?csf=1&amp;web=1&amp;e=shDlBz</t>
  </si>
  <si>
    <t>Link for AFT Money Load Program</t>
  </si>
  <si>
    <t>https://visa.highspot.com/items/64b7ed48d004140237384d7a</t>
  </si>
  <si>
    <t>Link for OCT Strategic Alliance Fee Program</t>
  </si>
  <si>
    <t>https://visa.highspot.com/items/64b7ed7e2b4f9c04ea94b456</t>
  </si>
  <si>
    <t>Option 1 (Input Flat Discount %, excludes AFT)</t>
  </si>
  <si>
    <r>
      <rPr>
        <b/>
        <sz val="12"/>
        <rFont val="Calibri"/>
        <family val="2"/>
        <scheme val="minor"/>
      </rPr>
      <t>Option 1</t>
    </r>
    <r>
      <rPr>
        <b/>
        <sz val="11"/>
        <rFont val="Calibri"/>
        <family val="2"/>
        <scheme val="minor"/>
      </rPr>
      <t>: Flat % discount on all core OCT fees (AFTs excluded), Max 35%. For small deals cap at 25%</t>
    </r>
  </si>
  <si>
    <r>
      <rPr>
        <b/>
        <sz val="12"/>
        <rFont val="Calibri"/>
        <family val="2"/>
        <scheme val="minor"/>
      </rPr>
      <t>Option 2</t>
    </r>
    <r>
      <rPr>
        <b/>
        <sz val="11"/>
        <rFont val="Calibri"/>
        <family val="2"/>
        <scheme val="minor"/>
      </rPr>
      <t>: Tiered XB Discount on XB OCTs only (refer to tiering Table) - standard tier table</t>
    </r>
  </si>
  <si>
    <r>
      <rPr>
        <b/>
        <sz val="12"/>
        <rFont val="Calibri"/>
        <family val="2"/>
        <scheme val="minor"/>
      </rPr>
      <t>Option 3</t>
    </r>
    <r>
      <rPr>
        <b/>
        <sz val="11"/>
        <rFont val="Calibri"/>
        <family val="2"/>
        <scheme val="minor"/>
      </rPr>
      <t>: Tiered % Discount on All OCTs, tiering by DOM/Intra and XB</t>
    </r>
  </si>
  <si>
    <t>Enterprie Adj. AANR</t>
  </si>
  <si>
    <t>EU VD Only
Adj. AANR</t>
  </si>
  <si>
    <t>OCT Txn %</t>
  </si>
  <si>
    <t>AFT Txn %</t>
  </si>
  <si>
    <t xml:space="preserve">Total </t>
  </si>
  <si>
    <t>PV - Total EUROS</t>
  </si>
  <si>
    <t>Transactions - Total</t>
  </si>
  <si>
    <t>PV and Volumes</t>
  </si>
  <si>
    <t>PV - EU Dom</t>
  </si>
  <si>
    <t>Transactions - EU Dom</t>
  </si>
  <si>
    <t>PV - EU Intra (EEA + NON-EEA)</t>
  </si>
  <si>
    <t>Transactions - EU Intra</t>
  </si>
  <si>
    <t>Deal KPIs (EUROS)</t>
  </si>
  <si>
    <t>Term of Contract (years)</t>
  </si>
  <si>
    <t>PV - XB</t>
  </si>
  <si>
    <t>Total Transactions</t>
  </si>
  <si>
    <t>Transactions - XB</t>
  </si>
  <si>
    <t>Average Annualised Tranactions</t>
  </si>
  <si>
    <t>DOM Txn%</t>
  </si>
  <si>
    <t>Fees/revenue</t>
  </si>
  <si>
    <t>Gross Revenue (OCT+AFT)</t>
  </si>
  <si>
    <t>INTRA EEA Txn%</t>
  </si>
  <si>
    <t>Acq Processing Rev - EU Dom</t>
  </si>
  <si>
    <t>INTRA Non-EEA Txn%</t>
  </si>
  <si>
    <t>Acq Scheme Rev - EU Dom</t>
  </si>
  <si>
    <t>Inter Txn%</t>
  </si>
  <si>
    <t>Total Core Acquiring Fees</t>
  </si>
  <si>
    <t>Acq Processing Rev - EU Intra</t>
  </si>
  <si>
    <t>Total Gross Revenue</t>
  </si>
  <si>
    <t>Acq Scheme Rev - EU Intra</t>
  </si>
  <si>
    <t>Total Incentives incl IRR VAT</t>
  </si>
  <si>
    <t>Total Net Revenue</t>
  </si>
  <si>
    <t>Acquirer Rev - XB</t>
  </si>
  <si>
    <t>AANR</t>
  </si>
  <si>
    <t>Issuer Rev (All Volumes)</t>
  </si>
  <si>
    <r>
      <t xml:space="preserve">AANR </t>
    </r>
    <r>
      <rPr>
        <sz val="11"/>
        <color rgb="FFFF0000"/>
        <rFont val="Calibri"/>
        <family val="2"/>
        <scheme val="minor"/>
      </rPr>
      <t>excl VTS</t>
    </r>
  </si>
  <si>
    <t>Other Fees (e.g. Alias Directory)</t>
  </si>
  <si>
    <t>Incentive $ of Gross Rev. incl VAT</t>
  </si>
  <si>
    <t>VIK Revenues</t>
  </si>
  <si>
    <t>Incentive $ of Core Fees excl IRR VAT</t>
  </si>
  <si>
    <t>FX Spread - Inter</t>
  </si>
  <si>
    <t>IRR VAT Rate</t>
  </si>
  <si>
    <t>FX Spread - Intra</t>
  </si>
  <si>
    <t>Visa+</t>
  </si>
  <si>
    <t xml:space="preserve">Deal Breakeven </t>
  </si>
  <si>
    <t>Delegated Auth Fees (3DS/VTS)</t>
  </si>
  <si>
    <t>Upfront</t>
  </si>
  <si>
    <t>Incentives</t>
  </si>
  <si>
    <t>Total Incentives (incl VAT)</t>
  </si>
  <si>
    <t>Fixed Support</t>
  </si>
  <si>
    <t>Upfront (Max $250k incl VAT) - earned out</t>
  </si>
  <si>
    <t>Volume Support</t>
  </si>
  <si>
    <t>Fixed Support - earned out</t>
  </si>
  <si>
    <t>Total Incentive Value</t>
  </si>
  <si>
    <t>VIK Support (Gross, including VAT) - earned out</t>
  </si>
  <si>
    <t>Please review the RED cells as these indicate an error</t>
  </si>
  <si>
    <t>Volume Support (milestone based)</t>
  </si>
  <si>
    <t>Select Incetive structure option below
Note: All Options include earnout of Upfront, VIK and Fixed Incentives</t>
  </si>
  <si>
    <t>VAT on Merchant Support</t>
  </si>
  <si>
    <t>Net Revenue</t>
  </si>
  <si>
    <t>Cumulative Net Revenue</t>
  </si>
  <si>
    <t>Variable Costs</t>
  </si>
  <si>
    <t>Auth</t>
  </si>
  <si>
    <t>C&amp;S</t>
  </si>
  <si>
    <t>VIK Costs</t>
  </si>
  <si>
    <t>Contribution</t>
  </si>
  <si>
    <t>Cumulative Contribution</t>
  </si>
  <si>
    <t>Cumulative NPV</t>
  </si>
  <si>
    <t>Per Transaction Yield</t>
  </si>
  <si>
    <t>NRY (on PV)</t>
  </si>
  <si>
    <t>Cumulative NRY (on PV)</t>
  </si>
  <si>
    <t>NPV (Cumulative)</t>
  </si>
  <si>
    <t>NPV</t>
  </si>
  <si>
    <t>Total Variable Processing Costs</t>
  </si>
  <si>
    <t>Core Fees</t>
  </si>
  <si>
    <t>Amortized Discount</t>
  </si>
  <si>
    <t>OCT only (destination)</t>
  </si>
  <si>
    <t>Net Issuing Yield (Please Update for Market)</t>
  </si>
  <si>
    <t>AFT Only (originator market)</t>
  </si>
  <si>
    <t>OCT PV (DOM, IntraEEA, Intra NonEEA)</t>
  </si>
  <si>
    <t>AFT PV (DOM, IntraEEA, Intra NonEEA)</t>
  </si>
  <si>
    <t>Total NS Issuing Fees</t>
  </si>
  <si>
    <t>Assessing Deal Term Contribution</t>
  </si>
  <si>
    <t>Breakeven Year based on Contribution (Cash flow)</t>
  </si>
  <si>
    <t>Check with finance to change tiers</t>
  </si>
  <si>
    <t>Option 2 Discount Table</t>
  </si>
  <si>
    <t>Core Revenue Split by Prod</t>
  </si>
  <si>
    <t>% Split</t>
  </si>
  <si>
    <t>%Split Over ride</t>
  </si>
  <si>
    <t>XB OCT Txns from</t>
  </si>
  <si>
    <t>XB OCT Txns to</t>
  </si>
  <si>
    <t>Discount on Core XB OCTFees</t>
  </si>
  <si>
    <t>OCT P2P DOM</t>
  </si>
  <si>
    <t>OCT P2P Intra</t>
  </si>
  <si>
    <t>OCT P2P Inter</t>
  </si>
  <si>
    <t>OCT FD DOM</t>
  </si>
  <si>
    <t>OCT FD Intra</t>
  </si>
  <si>
    <t>Uncapped</t>
  </si>
  <si>
    <t>OCT FD Inter</t>
  </si>
  <si>
    <t>AFT DOM</t>
  </si>
  <si>
    <t>AFT Intra</t>
  </si>
  <si>
    <t>Option 3 Discount Table, use with XB table above</t>
  </si>
  <si>
    <t>AFT Inter</t>
  </si>
  <si>
    <t>DOM/Intra OCT From</t>
  </si>
  <si>
    <t>DOM/Intra OCT To</t>
  </si>
  <si>
    <t>Discount on Total Core Fees</t>
  </si>
  <si>
    <t>BELOW INCENTIVE CALC</t>
  </si>
  <si>
    <t>XB OCT Txn</t>
  </si>
  <si>
    <t>XB OCT PV</t>
  </si>
  <si>
    <t>XB OCT Fee discount</t>
  </si>
  <si>
    <t>Incentive on XB OCT</t>
  </si>
  <si>
    <t>DOM/Intra OCT Txns</t>
  </si>
  <si>
    <t>DOM/Intra OCT Fee discount</t>
  </si>
  <si>
    <t>Incentive on DOM/Intra OCT</t>
  </si>
  <si>
    <t>Select Incentive Option</t>
  </si>
  <si>
    <t>Option 2 (Only XB OCTs, tiered discount)</t>
  </si>
  <si>
    <t>Option 3 (Tiered DOM/Intra OCT, Tiered XB OCT)</t>
  </si>
  <si>
    <t>Only for option 1</t>
  </si>
  <si>
    <t>Final Discount as per Option</t>
  </si>
  <si>
    <t>DOM/Intra</t>
  </si>
  <si>
    <t>Inter</t>
  </si>
  <si>
    <t>EEA</t>
  </si>
  <si>
    <t>INTRA EEA</t>
  </si>
  <si>
    <t>Modelling Assumptions</t>
  </si>
  <si>
    <t>Mandatory Fields</t>
  </si>
  <si>
    <t>Optional Fields</t>
  </si>
  <si>
    <t>FX EUR/USD</t>
  </si>
  <si>
    <r>
      <rPr>
        <b/>
        <sz val="14"/>
        <color theme="1"/>
        <rFont val="Calibri"/>
        <family val="2"/>
        <scheme val="minor"/>
      </rPr>
      <t>Guidance on completing input sheet:</t>
    </r>
    <r>
      <rPr>
        <sz val="14"/>
        <color theme="1"/>
        <rFont val="Calibri"/>
        <family val="2"/>
        <scheme val="minor"/>
      </rPr>
      <t xml:space="preserve">
1. Please fill in cells highlighted in Yellow - INPUT in EUROS
2. Please select the Market from the drop down. If multiple markets, please select the biggest market for the opportunity.
3. UK/IS/CH/TK to rest of EU is Intra NON-EEA Transaction (also vice versa). If modelling for UK/IS/CH/TK, there will not be any Intra EEA transactions.
</t>
    </r>
  </si>
  <si>
    <t>Intra NonEEA</t>
  </si>
  <si>
    <t>Turkey</t>
  </si>
  <si>
    <t>Origin Market</t>
  </si>
  <si>
    <t>Term</t>
  </si>
  <si>
    <t>FX EUR/GBP</t>
  </si>
  <si>
    <t>Israel</t>
  </si>
  <si>
    <t>Client Type</t>
  </si>
  <si>
    <t>Enabler</t>
  </si>
  <si>
    <t>AFT IRF</t>
  </si>
  <si>
    <t>MLP T2</t>
  </si>
  <si>
    <t>Please select one option or "Rack"</t>
  </si>
  <si>
    <t>Switzerland</t>
  </si>
  <si>
    <t>TBC</t>
  </si>
  <si>
    <t>OCT IRF</t>
  </si>
  <si>
    <t>Rack</t>
  </si>
  <si>
    <t>Destination</t>
  </si>
  <si>
    <t>Average Ticket Size</t>
  </si>
  <si>
    <t>OCT - PP &amp; AA</t>
  </si>
  <si>
    <t>OCT - FD</t>
  </si>
  <si>
    <t>AFT</t>
  </si>
  <si>
    <t>Cross Curr %</t>
  </si>
  <si>
    <t>Credit %</t>
  </si>
  <si>
    <t>Debit %</t>
  </si>
  <si>
    <t>DOM</t>
  </si>
  <si>
    <t>INTRA Non-EEA</t>
  </si>
  <si>
    <t>INTER</t>
  </si>
  <si>
    <t>Mapping Table - Do not change/delete</t>
  </si>
  <si>
    <t>Input Number of Transactions by Jurisdiction in Yellow Cells</t>
  </si>
  <si>
    <t>Total</t>
  </si>
  <si>
    <t>Total PV</t>
  </si>
  <si>
    <t>Choose Main and Detailed Use Case for OCT P2P</t>
  </si>
  <si>
    <t>Secondary (BAI)</t>
  </si>
  <si>
    <t>Tertiary BAI</t>
  </si>
  <si>
    <t>Choose Main and Detailed Use Case for OCT FD</t>
  </si>
  <si>
    <t>Choose Main and Detailed Use Case for AFT</t>
  </si>
  <si>
    <t>A2A</t>
  </si>
  <si>
    <t>Wallet Loads</t>
  </si>
  <si>
    <t>Grand Total Transactions</t>
  </si>
  <si>
    <t>Start Qtr</t>
  </si>
  <si>
    <t>End Qtr</t>
  </si>
  <si>
    <t>MLP T1</t>
  </si>
  <si>
    <t>Standard - EU - Instant Funding Program Tier 1</t>
  </si>
  <si>
    <t>Standard - EU - Instant Funding Program Tier 2</t>
  </si>
  <si>
    <t>SAFP</t>
  </si>
  <si>
    <t>Standard - EU - Strategic Alliance Fee Programme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</si>
</sst>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 #,##0.00_-;_-* &quot;-&quot;??_-;_-@_-"/>
    <numFmt numFmtId="164" formatCode="\€\ #,##0.000,,\ &quot;M&quot;;[Red]\(\€\ #,##0.000,,\ &quot;M&quot;\)"/>
    <numFmt numFmtId="165" formatCode="\$\ #,##0.000,,\ &quot;M&quot;;[Red]\(\$\ #,##0.000,,\ &quot;M&quot;\)"/>
    <numFmt numFmtId="166" formatCode="&quot;Year &quot;0"/>
    <numFmt numFmtId="167" formatCode="_(* #,##0.00_);_(* \(#,##0.00\);_(* &quot;-&quot;??_);_(@_)"/>
    <numFmt numFmtId="168" formatCode="_(* #,##0_);_(* \(#,##0\);_(* &quot;-&quot;??_);_(@_)"/>
    <numFmt numFmtId="169" formatCode="0.0%"/>
    <numFmt numFmtId="170" formatCode="_(* #,##0.000_);_(* \(#,##0.000\);_(* &quot;-&quot;??_);_(@_)"/>
    <numFmt numFmtId="171" formatCode="_(* #,##0.0000_);_(* \(#,##0.0000\);_(* &quot;-&quot;??_);_(@_)"/>
    <numFmt numFmtId="172" formatCode="_(* #,##0.0_);_(* \(#,##0.0\);_(* &quot;-&quot;??_);_(@_)"/>
    <numFmt numFmtId="173" formatCode="_(&quot;$&quot;* #,##0_);_(&quot;$&quot;* \(#,##0\);_(&quot;$&quot;* &quot;-&quot;??_);_(@_)"/>
    <numFmt numFmtId="174" formatCode="_(* #,##0.00000000_);_(* \(#,##0.00000000\);_(* &quot;-&quot;??_);_(@_)"/>
    <numFmt numFmtId="175" formatCode="_([$$-409]* #,##0.00_);_([$$-409]* \(#,##0.00\);_([$$-409]* &quot;-&quot;??_);_(@_)"/>
  </numFmts>
  <fonts count="39" x14ac:knownFonts="1">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b/>
      <sz val="16"/>
      <color rgb="FFFF0000"/>
      <name val="Calibri"/>
      <family val="2"/>
      <scheme val="minor"/>
    </font>
    <font>
      <b/>
      <sz val="11"/>
      <color rgb="FF00B050"/>
      <name val="Calibri"/>
      <family val="2"/>
      <scheme val="minor"/>
    </font>
    <font>
      <b/>
      <sz val="14"/>
      <color rgb="FF00B050"/>
      <name val="Calibri"/>
      <family val="2"/>
      <scheme val="minor"/>
    </font>
    <font>
      <b/>
      <sz val="18"/>
      <color theme="1"/>
      <name val="Calibri"/>
      <family val="2"/>
      <scheme val="minor"/>
    </font>
    <font>
      <sz val="14"/>
      <color theme="1"/>
      <name val="Calibri"/>
      <family val="2"/>
      <scheme val="minor"/>
    </font>
    <font>
      <b/>
      <sz val="14"/>
      <color theme="1"/>
      <name val="Calibri"/>
      <family val="2"/>
      <scheme val="minor"/>
    </font>
    <font>
      <sz val="12"/>
      <name val="Arial"/>
      <family val="2"/>
    </font>
    <font>
      <sz val="11"/>
      <name val="Calibri"/>
      <family val="2"/>
      <scheme val="minor"/>
    </font>
    <font>
      <b/>
      <sz val="11"/>
      <name val="Calibri"/>
      <family val="2"/>
      <scheme val="minor"/>
    </font>
    <font>
      <sz val="10"/>
      <name val="Arial"/>
      <family val="2"/>
    </font>
    <font>
      <b/>
      <sz val="11"/>
      <color rgb="FFFF0000"/>
      <name val="Calibri"/>
      <family val="2"/>
      <scheme val="minor"/>
    </font>
    <font>
      <b/>
      <sz val="14"/>
      <color theme="0"/>
      <name val="Calibri"/>
      <family val="2"/>
      <scheme val="minor"/>
    </font>
    <font>
      <b/>
      <sz val="16"/>
      <color theme="1"/>
      <name val="Calibri"/>
      <family val="2"/>
      <scheme val="minor"/>
    </font>
    <font>
      <b/>
      <sz val="20"/>
      <color rgb="FFFF0000"/>
      <name val="Calibri"/>
      <family val="2"/>
      <scheme val="minor"/>
    </font>
    <font>
      <b/>
      <sz val="12"/>
      <name val="Calibri"/>
      <family val="2"/>
      <scheme val="minor"/>
    </font>
    <font>
      <b/>
      <sz val="12"/>
      <color rgb="FF000000"/>
      <name val="Visa Dialect Regular"/>
    </font>
    <font>
      <b/>
      <sz val="10"/>
      <color rgb="FFF7B600"/>
      <name val="Calibri Light"/>
      <family val="2"/>
      <scheme val="major"/>
    </font>
    <font>
      <b/>
      <sz val="11"/>
      <color rgb="FF000000"/>
      <name val="Calibri Light"/>
      <family val="2"/>
    </font>
    <font>
      <sz val="11"/>
      <color rgb="FF000000"/>
      <name val="Calibri Light"/>
      <family val="2"/>
    </font>
    <font>
      <b/>
      <sz val="11"/>
      <color theme="7"/>
      <name val="Calibri"/>
      <family val="2"/>
      <scheme val="minor"/>
    </font>
    <font>
      <i/>
      <sz val="11"/>
      <color rgb="FF000000"/>
      <name val="Calibri Light"/>
      <family val="2"/>
    </font>
    <font>
      <b/>
      <sz val="11"/>
      <color theme="1"/>
      <name val="Calibri Light"/>
      <family val="2"/>
      <scheme val="major"/>
    </font>
    <font>
      <sz val="11"/>
      <color theme="1"/>
      <name val="Calibri Light"/>
      <family val="2"/>
      <scheme val="major"/>
    </font>
    <font>
      <b/>
      <sz val="10"/>
      <color rgb="FF1A1F71"/>
      <name val="Calibri Light"/>
      <family val="2"/>
      <scheme val="major"/>
    </font>
    <font>
      <b/>
      <u/>
      <sz val="11"/>
      <color theme="1"/>
      <name val="Calibri"/>
      <family val="2"/>
      <scheme val="minor"/>
    </font>
    <font>
      <b/>
      <sz val="20"/>
      <name val="Calibri"/>
      <family val="2"/>
      <scheme val="minor"/>
    </font>
    <font>
      <b/>
      <sz val="16"/>
      <color theme="0"/>
      <name val="Calibri"/>
      <family val="2"/>
      <scheme val="minor"/>
    </font>
    <font>
      <sz val="16"/>
      <color theme="1"/>
      <name val="Calibri"/>
      <family val="2"/>
      <scheme val="minor"/>
    </font>
    <font>
      <sz val="18"/>
      <color theme="1"/>
      <name val="Calibri"/>
      <family val="2"/>
      <scheme val="minor"/>
    </font>
    <font>
      <b/>
      <sz val="16"/>
      <name val="Calibri"/>
      <family val="2"/>
      <scheme val="minor"/>
    </font>
    <font>
      <b/>
      <sz val="11"/>
      <color theme="5"/>
      <name val="Calibri"/>
      <family val="2"/>
      <scheme val="minor"/>
    </font>
    <font>
      <b/>
      <sz val="12"/>
      <color theme="1"/>
      <name val="Calibri"/>
      <family val="2"/>
      <scheme val="minor"/>
    </font>
  </fonts>
  <fills count="21">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theme="0" tint="-0.499984740745262"/>
        <bgColor indexed="64"/>
      </patternFill>
    </fill>
    <fill>
      <patternFill patternType="solid">
        <fgColor indexed="9"/>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1A1F71"/>
        <bgColor indexed="64"/>
      </patternFill>
    </fill>
    <fill>
      <patternFill patternType="solid">
        <fgColor rgb="FFFFFFFF"/>
        <bgColor rgb="FF000000"/>
      </patternFill>
    </fill>
    <fill>
      <patternFill patternType="solid">
        <fgColor theme="0" tint="-0.14999847407452621"/>
        <bgColor indexed="64"/>
      </patternFill>
    </fill>
    <fill>
      <patternFill patternType="solid">
        <fgColor rgb="FF002060"/>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rgb="FFFFFF00"/>
        <bgColor indexed="64"/>
      </patternFill>
    </fill>
    <fill>
      <patternFill patternType="solid">
        <fgColor indexed="9"/>
        <bgColor indexed="56"/>
      </patternFill>
    </fill>
    <fill>
      <patternFill patternType="solid">
        <fgColor rgb="FF92D050"/>
        <bgColor indexed="64"/>
      </patternFill>
    </fill>
    <fill>
      <patternFill patternType="solid">
        <fgColor theme="4" tint="0.59999389629810485"/>
        <bgColor indexed="64"/>
      </patternFill>
    </fill>
    <fill>
      <patternFill patternType="solid">
        <fgColor theme="1" tint="0.499984740745262"/>
        <bgColor indexed="64"/>
      </patternFill>
    </fill>
    <fill>
      <patternFill patternType="solid">
        <fgColor rgb="FFFFC000"/>
        <bgColor indexed="64"/>
      </patternFill>
    </fill>
    <fill>
      <patternFill patternType="solid">
        <fgColor theme="0" tint="-0.34998626667073579"/>
        <bgColor indexed="64"/>
      </patternFill>
    </fill>
  </fills>
  <borders count="5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theme="1" tint="0.499984740745262"/>
      </left>
      <right/>
      <top/>
      <bottom/>
      <diagonal/>
    </border>
    <border>
      <left style="medium">
        <color indexed="64"/>
      </left>
      <right/>
      <top/>
      <bottom style="thin">
        <color indexed="64"/>
      </bottom>
      <diagonal/>
    </border>
    <border>
      <left/>
      <right/>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rgb="FFFF0000"/>
      </left>
      <right style="medium">
        <color rgb="FFFF0000"/>
      </right>
      <top style="medium">
        <color rgb="FFFF0000"/>
      </top>
      <bottom style="medium">
        <color rgb="FFFF0000"/>
      </bottom>
      <diagonal/>
    </border>
    <border>
      <left style="medium">
        <color rgb="FFFF0000"/>
      </left>
      <right/>
      <top/>
      <bottom/>
      <diagonal/>
    </border>
    <border>
      <left/>
      <right/>
      <top style="medium">
        <color indexed="64"/>
      </top>
      <bottom/>
      <diagonal/>
    </border>
    <border>
      <left style="thin">
        <color indexed="64"/>
      </left>
      <right style="thin">
        <color indexed="64"/>
      </right>
      <top/>
      <bottom/>
      <diagonal/>
    </border>
    <border>
      <left style="medium">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right/>
      <top/>
      <bottom style="medium">
        <color indexed="64"/>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s>
  <cellStyleXfs count="6">
    <xf numFmtId="0" fontId="0" fillId="0" borderId="0"/>
    <xf numFmtId="167" fontId="1" fillId="0" borderId="0" applyFont="0" applyFill="0" applyBorder="0" applyAlignment="0" applyProtection="0"/>
    <xf numFmtId="9" fontId="1" fillId="0" borderId="0" applyFont="0" applyFill="0" applyBorder="0" applyAlignment="0" applyProtection="0"/>
    <xf numFmtId="0" fontId="6" fillId="0" borderId="0" applyNumberFormat="0" applyFill="0" applyBorder="0" applyAlignment="0" applyProtection="0"/>
    <xf numFmtId="0" fontId="13" fillId="0" borderId="0"/>
    <xf numFmtId="0" fontId="16" fillId="0" borderId="0"/>
  </cellStyleXfs>
  <cellXfs count="342">
    <xf numFmtId="0" fontId="0" fillId="0" borderId="0" xfId="0"/>
    <xf numFmtId="0" fontId="7" fillId="2" borderId="1"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8" fillId="0" borderId="3" xfId="0" applyFont="1" applyBorder="1" applyAlignment="1">
      <alignment horizontal="left" vertical="center" wrapText="1"/>
    </xf>
    <xf numFmtId="0" fontId="4" fillId="2" borderId="3" xfId="0" applyFont="1" applyFill="1" applyBorder="1" applyAlignment="1" applyProtection="1">
      <alignment horizontal="left" vertical="center" wrapText="1"/>
      <protection locked="0"/>
    </xf>
    <xf numFmtId="0" fontId="9" fillId="0" borderId="3" xfId="0" applyFont="1" applyBorder="1" applyAlignment="1">
      <alignment vertical="center"/>
    </xf>
    <xf numFmtId="0" fontId="10" fillId="2" borderId="3" xfId="0" applyFont="1" applyFill="1" applyBorder="1" applyAlignment="1" applyProtection="1">
      <alignment horizontal="center" vertical="center" wrapText="1"/>
      <protection locked="0"/>
    </xf>
    <xf numFmtId="0" fontId="11" fillId="0" borderId="4" xfId="0" applyFont="1" applyBorder="1" applyAlignment="1">
      <alignment horizontal="center" vertical="center" wrapText="1"/>
    </xf>
    <xf numFmtId="0" fontId="11" fillId="0" borderId="2" xfId="0" applyFont="1" applyBorder="1" applyAlignment="1">
      <alignment horizontal="center" vertical="center"/>
    </xf>
    <xf numFmtId="0" fontId="11" fillId="0" borderId="0" xfId="0" applyFont="1"/>
    <xf numFmtId="0" fontId="11" fillId="0" borderId="2" xfId="0" applyFont="1" applyBorder="1" applyAlignment="1">
      <alignment horizontal="center" vertical="center" wrapText="1"/>
    </xf>
    <xf numFmtId="0" fontId="8" fillId="3" borderId="1" xfId="0" applyFont="1" applyFill="1" applyBorder="1" applyAlignment="1">
      <alignment horizontal="left" vertical="center" wrapText="1"/>
    </xf>
    <xf numFmtId="0" fontId="8" fillId="3" borderId="5" xfId="0" applyFont="1" applyFill="1" applyBorder="1" applyAlignment="1">
      <alignment horizontal="left" vertical="center" wrapText="1"/>
    </xf>
    <xf numFmtId="0" fontId="4" fillId="4" borderId="3" xfId="0" applyFont="1" applyFill="1" applyBorder="1" applyAlignment="1">
      <alignment horizontal="left" vertical="center" wrapText="1"/>
    </xf>
    <xf numFmtId="0" fontId="8" fillId="3" borderId="3" xfId="0" applyFont="1" applyFill="1" applyBorder="1" applyAlignment="1">
      <alignment horizontal="left" vertical="center" wrapText="1"/>
    </xf>
    <xf numFmtId="0" fontId="11" fillId="0" borderId="6" xfId="0" applyFont="1" applyBorder="1" applyAlignment="1">
      <alignment horizontal="center" vertical="center"/>
    </xf>
    <xf numFmtId="0" fontId="11" fillId="0" borderId="7" xfId="0" applyFont="1" applyBorder="1" applyAlignment="1">
      <alignment horizontal="center" vertical="center"/>
    </xf>
    <xf numFmtId="0" fontId="11"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14" fillId="5" borderId="8" xfId="4" applyFont="1" applyFill="1" applyBorder="1"/>
    <xf numFmtId="0" fontId="15" fillId="0" borderId="9" xfId="4" applyFont="1" applyBorder="1" applyAlignment="1">
      <alignment horizontal="left" vertical="top"/>
    </xf>
    <xf numFmtId="0" fontId="15" fillId="0" borderId="10" xfId="4" applyFont="1" applyBorder="1" applyAlignment="1">
      <alignment horizontal="left" vertical="top"/>
    </xf>
    <xf numFmtId="0" fontId="15" fillId="0" borderId="11" xfId="4" applyFont="1" applyBorder="1" applyAlignment="1">
      <alignment horizontal="left" vertical="top"/>
    </xf>
    <xf numFmtId="0" fontId="15" fillId="0" borderId="12" xfId="4" applyFont="1" applyBorder="1" applyAlignment="1">
      <alignment horizontal="left" vertical="top"/>
    </xf>
    <xf numFmtId="0" fontId="14" fillId="5" borderId="0" xfId="4" applyFont="1" applyFill="1"/>
    <xf numFmtId="0" fontId="14" fillId="2" borderId="13" xfId="5" applyFont="1" applyFill="1" applyBorder="1" applyAlignment="1" applyProtection="1">
      <alignment horizontal="left" vertical="center" wrapText="1"/>
      <protection locked="0"/>
    </xf>
    <xf numFmtId="0" fontId="14" fillId="2" borderId="14" xfId="5" applyFont="1" applyFill="1" applyBorder="1" applyAlignment="1" applyProtection="1">
      <alignment horizontal="left" vertical="center" wrapText="1"/>
      <protection locked="0"/>
    </xf>
    <xf numFmtId="0" fontId="14" fillId="2" borderId="15" xfId="5" applyFont="1" applyFill="1" applyBorder="1" applyAlignment="1" applyProtection="1">
      <alignment horizontal="left" vertical="center" wrapText="1"/>
      <protection locked="0"/>
    </xf>
    <xf numFmtId="0" fontId="14" fillId="5" borderId="1" xfId="4" applyFont="1" applyFill="1" applyBorder="1" applyAlignment="1">
      <alignment horizontal="left" vertical="center" wrapText="1"/>
    </xf>
    <xf numFmtId="0" fontId="14" fillId="5" borderId="5" xfId="4" applyFont="1" applyFill="1" applyBorder="1" applyAlignment="1">
      <alignment horizontal="center" vertical="center"/>
    </xf>
    <xf numFmtId="0" fontId="14" fillId="5" borderId="1" xfId="4" applyFont="1" applyFill="1" applyBorder="1" applyAlignment="1" applyProtection="1">
      <alignment horizontal="center"/>
      <protection locked="0"/>
    </xf>
    <xf numFmtId="0" fontId="14" fillId="5" borderId="5" xfId="4" applyFont="1" applyFill="1" applyBorder="1" applyAlignment="1" applyProtection="1">
      <alignment horizontal="center"/>
      <protection locked="0"/>
    </xf>
    <xf numFmtId="0" fontId="15" fillId="0" borderId="16" xfId="4" applyFont="1" applyBorder="1" applyAlignment="1">
      <alignment horizontal="left" vertical="top" wrapText="1"/>
    </xf>
    <xf numFmtId="0" fontId="15" fillId="0" borderId="11" xfId="4" applyFont="1" applyBorder="1" applyAlignment="1">
      <alignment horizontal="left" vertical="top" wrapText="1"/>
    </xf>
    <xf numFmtId="0" fontId="15" fillId="0" borderId="12" xfId="4" applyFont="1" applyBorder="1" applyAlignment="1">
      <alignment horizontal="left" vertical="top" wrapText="1"/>
    </xf>
    <xf numFmtId="0" fontId="14" fillId="5" borderId="0" xfId="4" applyFont="1" applyFill="1" applyProtection="1">
      <protection locked="0"/>
    </xf>
    <xf numFmtId="0" fontId="14" fillId="2" borderId="13" xfId="5" applyFont="1" applyFill="1" applyBorder="1" applyAlignment="1" applyProtection="1">
      <alignment horizontal="left" vertical="center"/>
      <protection locked="0"/>
    </xf>
    <xf numFmtId="0" fontId="14" fillId="2" borderId="14" xfId="5" applyFont="1" applyFill="1" applyBorder="1" applyAlignment="1" applyProtection="1">
      <alignment horizontal="left" vertical="center"/>
      <protection locked="0"/>
    </xf>
    <xf numFmtId="0" fontId="14" fillId="2" borderId="15" xfId="5" applyFont="1" applyFill="1" applyBorder="1" applyAlignment="1" applyProtection="1">
      <alignment horizontal="left" vertical="center"/>
      <protection locked="0"/>
    </xf>
    <xf numFmtId="0" fontId="14" fillId="5" borderId="1" xfId="4" applyFont="1" applyFill="1" applyBorder="1" applyAlignment="1" applyProtection="1">
      <alignment horizontal="center" vertical="center" wrapText="1"/>
      <protection locked="0"/>
    </xf>
    <xf numFmtId="0" fontId="14" fillId="5" borderId="5" xfId="4" applyFont="1" applyFill="1" applyBorder="1" applyAlignment="1" applyProtection="1">
      <alignment horizontal="center" vertical="center" wrapText="1"/>
      <protection locked="0"/>
    </xf>
    <xf numFmtId="0" fontId="14" fillId="2" borderId="17" xfId="5" applyFont="1" applyFill="1" applyBorder="1" applyAlignment="1" applyProtection="1">
      <alignment horizontal="left" vertical="center"/>
      <protection locked="0"/>
    </xf>
    <xf numFmtId="0" fontId="14" fillId="2" borderId="18" xfId="5" applyFont="1" applyFill="1" applyBorder="1" applyAlignment="1" applyProtection="1">
      <alignment horizontal="left" vertical="center"/>
      <protection locked="0"/>
    </xf>
    <xf numFmtId="0" fontId="14" fillId="2" borderId="19" xfId="5" applyFont="1" applyFill="1" applyBorder="1" applyAlignment="1" applyProtection="1">
      <alignment horizontal="left" vertical="center"/>
      <protection locked="0"/>
    </xf>
    <xf numFmtId="0" fontId="17" fillId="2" borderId="1" xfId="0" applyFont="1" applyFill="1" applyBorder="1" applyAlignment="1" applyProtection="1">
      <alignment vertical="center"/>
      <protection locked="0"/>
    </xf>
    <xf numFmtId="0" fontId="0" fillId="2" borderId="5" xfId="0" applyFill="1" applyBorder="1" applyAlignment="1">
      <alignment vertical="center"/>
    </xf>
    <xf numFmtId="0" fontId="0" fillId="2" borderId="5" xfId="0" applyFill="1" applyBorder="1" applyAlignment="1" applyProtection="1">
      <alignment horizontal="right" vertical="center"/>
      <protection locked="0"/>
    </xf>
    <xf numFmtId="0" fontId="17" fillId="2" borderId="1" xfId="0" applyFont="1" applyFill="1" applyBorder="1"/>
    <xf numFmtId="0" fontId="0" fillId="2" borderId="20" xfId="0" applyFill="1" applyBorder="1"/>
    <xf numFmtId="0" fontId="0" fillId="2" borderId="5" xfId="0" applyFill="1" applyBorder="1"/>
    <xf numFmtId="0" fontId="0" fillId="2" borderId="21" xfId="0" applyFill="1" applyBorder="1" applyAlignment="1" applyProtection="1">
      <alignment vertical="center"/>
      <protection locked="0"/>
    </xf>
    <xf numFmtId="0" fontId="0" fillId="2" borderId="22" xfId="0" applyFill="1" applyBorder="1" applyAlignment="1">
      <alignment vertical="center"/>
    </xf>
    <xf numFmtId="0" fontId="11" fillId="2" borderId="22" xfId="0" applyFont="1" applyFill="1" applyBorder="1" applyAlignment="1" applyProtection="1">
      <alignment horizontal="right" vertical="center"/>
      <protection locked="0"/>
    </xf>
    <xf numFmtId="0" fontId="3" fillId="0" borderId="0" xfId="0" applyFont="1"/>
    <xf numFmtId="0" fontId="0" fillId="2" borderId="4" xfId="0" applyFill="1" applyBorder="1"/>
    <xf numFmtId="0" fontId="0" fillId="2" borderId="2" xfId="0" applyFill="1" applyBorder="1"/>
    <xf numFmtId="0" fontId="0" fillId="2" borderId="23" xfId="0" applyFill="1" applyBorder="1"/>
    <xf numFmtId="0" fontId="0" fillId="2" borderId="21" xfId="0" applyFill="1" applyBorder="1"/>
    <xf numFmtId="0" fontId="0" fillId="2" borderId="22" xfId="0" applyFill="1" applyBorder="1"/>
    <xf numFmtId="0" fontId="0" fillId="2" borderId="24" xfId="0" applyFill="1" applyBorder="1"/>
    <xf numFmtId="14" fontId="11" fillId="2" borderId="22" xfId="0" applyNumberFormat="1" applyFont="1" applyFill="1" applyBorder="1" applyAlignment="1" applyProtection="1">
      <alignment horizontal="right" vertical="center"/>
      <protection locked="0"/>
    </xf>
    <xf numFmtId="0" fontId="2" fillId="4" borderId="21" xfId="0" applyFont="1" applyFill="1" applyBorder="1" applyAlignment="1" applyProtection="1">
      <alignment vertical="center"/>
      <protection locked="0"/>
    </xf>
    <xf numFmtId="0" fontId="2" fillId="4" borderId="22" xfId="0" applyFont="1" applyFill="1" applyBorder="1" applyAlignment="1">
      <alignment vertical="center"/>
    </xf>
    <xf numFmtId="14" fontId="18" fillId="4" borderId="22" xfId="0" applyNumberFormat="1" applyFont="1" applyFill="1" applyBorder="1" applyAlignment="1" applyProtection="1">
      <alignment horizontal="right" vertical="center"/>
      <protection locked="0"/>
    </xf>
    <xf numFmtId="0" fontId="0" fillId="4" borderId="24" xfId="0" applyFill="1" applyBorder="1"/>
    <xf numFmtId="0" fontId="0" fillId="2" borderId="6" xfId="0" applyFill="1" applyBorder="1" applyAlignment="1" applyProtection="1">
      <alignment vertical="center"/>
      <protection locked="0"/>
    </xf>
    <xf numFmtId="0" fontId="0" fillId="2" borderId="7" xfId="0" applyFill="1" applyBorder="1" applyAlignment="1">
      <alignment vertical="center"/>
    </xf>
    <xf numFmtId="0" fontId="11" fillId="2" borderId="7" xfId="0" applyFont="1" applyFill="1" applyBorder="1" applyAlignment="1" applyProtection="1">
      <alignment horizontal="right" vertical="center"/>
      <protection locked="0"/>
    </xf>
    <xf numFmtId="0" fontId="0" fillId="2" borderId="6" xfId="0" applyFill="1" applyBorder="1"/>
    <xf numFmtId="0" fontId="0" fillId="2" borderId="7" xfId="0" applyFill="1" applyBorder="1"/>
    <xf numFmtId="0" fontId="0" fillId="2" borderId="25" xfId="0" applyFill="1" applyBorder="1"/>
    <xf numFmtId="0" fontId="0" fillId="0" borderId="21" xfId="0" applyBorder="1" applyProtection="1">
      <protection locked="0"/>
    </xf>
    <xf numFmtId="0" fontId="0" fillId="0" borderId="22" xfId="0" applyBorder="1"/>
    <xf numFmtId="0" fontId="0" fillId="0" borderId="22" xfId="0" applyBorder="1" applyAlignment="1" applyProtection="1">
      <alignment horizontal="right"/>
      <protection locked="0"/>
    </xf>
    <xf numFmtId="0" fontId="0" fillId="0" borderId="6" xfId="0" applyBorder="1" applyProtection="1">
      <protection locked="0"/>
    </xf>
    <xf numFmtId="0" fontId="0" fillId="0" borderId="7" xfId="0" applyBorder="1"/>
    <xf numFmtId="0" fontId="0" fillId="0" borderId="7" xfId="0" applyBorder="1" applyAlignment="1" applyProtection="1">
      <alignment horizontal="right"/>
      <protection locked="0"/>
    </xf>
    <xf numFmtId="0" fontId="6" fillId="0" borderId="0" xfId="3"/>
    <xf numFmtId="0" fontId="0" fillId="0" borderId="0" xfId="0" applyProtection="1">
      <protection locked="0"/>
    </xf>
    <xf numFmtId="0" fontId="0" fillId="0" borderId="0" xfId="0" applyAlignment="1" applyProtection="1">
      <alignment horizontal="right"/>
      <protection locked="0"/>
    </xf>
    <xf numFmtId="0" fontId="19" fillId="2" borderId="0" xfId="0" applyFont="1" applyFill="1" applyAlignment="1" applyProtection="1">
      <alignment horizontal="left" vertical="top" wrapText="1"/>
      <protection locked="0"/>
    </xf>
    <xf numFmtId="9" fontId="20" fillId="2" borderId="26" xfId="2" applyFont="1" applyFill="1" applyBorder="1" applyAlignment="1" applyProtection="1">
      <alignment horizontal="center" vertical="center"/>
      <protection locked="0"/>
    </xf>
    <xf numFmtId="0" fontId="15" fillId="2" borderId="27" xfId="0" applyFont="1" applyFill="1" applyBorder="1" applyAlignment="1" applyProtection="1">
      <alignment horizontal="center" vertical="top" wrapText="1"/>
      <protection locked="0"/>
    </xf>
    <xf numFmtId="0" fontId="15" fillId="2" borderId="0" xfId="0" applyFont="1" applyFill="1" applyAlignment="1" applyProtection="1">
      <alignment horizontal="center" vertical="top" wrapText="1"/>
      <protection locked="0"/>
    </xf>
    <xf numFmtId="0" fontId="12" fillId="6" borderId="1" xfId="0" applyFont="1" applyFill="1" applyBorder="1" applyAlignment="1" applyProtection="1">
      <alignment horizontal="center" vertical="center" wrapText="1"/>
      <protection locked="0"/>
    </xf>
    <xf numFmtId="164" fontId="22" fillId="6" borderId="20" xfId="0" applyNumberFormat="1" applyFont="1" applyFill="1" applyBorder="1" applyAlignment="1">
      <alignment horizontal="center" vertical="center" wrapText="1" readingOrder="1"/>
    </xf>
    <xf numFmtId="165" fontId="22" fillId="6" borderId="5" xfId="0" applyNumberFormat="1" applyFont="1" applyFill="1" applyBorder="1" applyAlignment="1">
      <alignment horizontal="center" vertical="center" wrapText="1" readingOrder="1"/>
    </xf>
    <xf numFmtId="0" fontId="12" fillId="7" borderId="1" xfId="0" applyFont="1" applyFill="1" applyBorder="1" applyAlignment="1" applyProtection="1">
      <alignment horizontal="center" vertical="center" wrapText="1"/>
      <protection locked="0"/>
    </xf>
    <xf numFmtId="164" fontId="22" fillId="7" borderId="20" xfId="0" applyNumberFormat="1" applyFont="1" applyFill="1" applyBorder="1" applyAlignment="1">
      <alignment horizontal="center" vertical="center" wrapText="1" readingOrder="1"/>
    </xf>
    <xf numFmtId="165" fontId="22" fillId="7" borderId="5" xfId="0" applyNumberFormat="1" applyFont="1" applyFill="1" applyBorder="1" applyAlignment="1">
      <alignment horizontal="center" vertical="center" wrapText="1" readingOrder="1"/>
    </xf>
    <xf numFmtId="0" fontId="4" fillId="0" borderId="0" xfId="0" applyFont="1" applyAlignment="1" applyProtection="1">
      <alignment vertical="center" wrapText="1"/>
      <protection locked="0"/>
    </xf>
    <xf numFmtId="0" fontId="4" fillId="0" borderId="0" xfId="0" applyFont="1" applyAlignment="1" applyProtection="1">
      <alignment vertical="center"/>
      <protection locked="0"/>
    </xf>
    <xf numFmtId="9" fontId="0" fillId="0" borderId="0" xfId="2" applyFont="1" applyProtection="1">
      <protection locked="0"/>
    </xf>
    <xf numFmtId="0" fontId="17" fillId="3" borderId="0" xfId="0" applyFont="1" applyFill="1" applyAlignment="1" applyProtection="1">
      <alignment horizontal="right"/>
      <protection locked="0"/>
    </xf>
    <xf numFmtId="0" fontId="0" fillId="0" borderId="0" xfId="0" applyAlignment="1" applyProtection="1">
      <alignment vertical="center"/>
      <protection locked="0"/>
    </xf>
    <xf numFmtId="0" fontId="0" fillId="0" borderId="0" xfId="0" applyAlignment="1" applyProtection="1">
      <alignment horizontal="right" vertical="center"/>
      <protection locked="0"/>
    </xf>
    <xf numFmtId="0" fontId="23" fillId="0" borderId="0" xfId="0" applyFont="1" applyAlignment="1">
      <alignment vertical="center"/>
    </xf>
    <xf numFmtId="0" fontId="23" fillId="8" borderId="0" xfId="0" applyFont="1" applyFill="1" applyAlignment="1">
      <alignment vertical="center"/>
    </xf>
    <xf numFmtId="166" fontId="23" fillId="8" borderId="0" xfId="0" applyNumberFormat="1" applyFont="1" applyFill="1" applyAlignment="1">
      <alignment horizontal="center" vertical="center"/>
    </xf>
    <xf numFmtId="0" fontId="23" fillId="8" borderId="0" xfId="0" applyFont="1" applyFill="1" applyAlignment="1">
      <alignment horizontal="right" vertical="center"/>
    </xf>
    <xf numFmtId="0" fontId="23" fillId="0" borderId="0" xfId="0" applyFont="1" applyAlignment="1" applyProtection="1">
      <alignment horizontal="center" vertical="center"/>
      <protection locked="0"/>
    </xf>
    <xf numFmtId="0" fontId="24" fillId="9" borderId="0" xfId="0" applyFont="1" applyFill="1" applyAlignment="1">
      <alignment vertical="center"/>
    </xf>
    <xf numFmtId="168" fontId="25" fillId="0" borderId="0" xfId="1" applyNumberFormat="1" applyFont="1" applyBorder="1" applyProtection="1"/>
    <xf numFmtId="0" fontId="25" fillId="0" borderId="10" xfId="0" applyFont="1" applyBorder="1" applyAlignment="1">
      <alignment wrapText="1"/>
    </xf>
    <xf numFmtId="0" fontId="24" fillId="9" borderId="10" xfId="0" applyFont="1" applyFill="1" applyBorder="1" applyAlignment="1">
      <alignment vertical="center"/>
    </xf>
    <xf numFmtId="168" fontId="25" fillId="0" borderId="10" xfId="1" applyNumberFormat="1" applyFont="1" applyBorder="1" applyProtection="1"/>
    <xf numFmtId="0" fontId="25" fillId="0" borderId="0" xfId="0" applyFont="1" applyAlignment="1">
      <alignment wrapText="1"/>
    </xf>
    <xf numFmtId="168" fontId="25" fillId="0" borderId="0" xfId="1" applyNumberFormat="1" applyFont="1" applyProtection="1"/>
    <xf numFmtId="0" fontId="24" fillId="10" borderId="23" xfId="0" applyFont="1" applyFill="1" applyBorder="1" applyAlignment="1">
      <alignment horizontal="left" vertical="center" wrapText="1"/>
    </xf>
    <xf numFmtId="0" fontId="24" fillId="10" borderId="28" xfId="0" applyFont="1" applyFill="1" applyBorder="1" applyAlignment="1">
      <alignment vertical="center"/>
    </xf>
    <xf numFmtId="168" fontId="25" fillId="10" borderId="28" xfId="1" applyNumberFormat="1" applyFont="1" applyFill="1" applyBorder="1" applyProtection="1"/>
    <xf numFmtId="168" fontId="25" fillId="10" borderId="2" xfId="1" applyNumberFormat="1" applyFont="1" applyFill="1" applyBorder="1" applyProtection="1"/>
    <xf numFmtId="0" fontId="24" fillId="10" borderId="24" xfId="0" applyFont="1" applyFill="1" applyBorder="1" applyAlignment="1">
      <alignment horizontal="left" vertical="center" wrapText="1"/>
    </xf>
    <xf numFmtId="0" fontId="24" fillId="10" borderId="0" xfId="0" applyFont="1" applyFill="1" applyAlignment="1">
      <alignment vertical="center"/>
    </xf>
    <xf numFmtId="168" fontId="25" fillId="10" borderId="0" xfId="1" applyNumberFormat="1" applyFont="1" applyFill="1" applyBorder="1" applyProtection="1"/>
    <xf numFmtId="168" fontId="25" fillId="10" borderId="22" xfId="1" applyNumberFormat="1" applyFont="1" applyFill="1" applyBorder="1" applyProtection="1"/>
    <xf numFmtId="168" fontId="0" fillId="0" borderId="0" xfId="1" applyNumberFormat="1" applyFont="1" applyProtection="1">
      <protection locked="0"/>
    </xf>
    <xf numFmtId="0" fontId="26" fillId="11" borderId="29" xfId="0" applyFont="1" applyFill="1" applyBorder="1" applyAlignment="1" applyProtection="1">
      <alignment horizontal="center"/>
      <protection locked="0"/>
    </xf>
    <xf numFmtId="0" fontId="0" fillId="0" borderId="30" xfId="0" applyBorder="1" applyProtection="1">
      <protection locked="0"/>
    </xf>
    <xf numFmtId="168" fontId="14" fillId="0" borderId="31" xfId="1" applyNumberFormat="1" applyFont="1" applyFill="1" applyBorder="1" applyAlignment="1" applyProtection="1">
      <alignment horizontal="right"/>
      <protection locked="0"/>
    </xf>
    <xf numFmtId="43" fontId="0" fillId="0" borderId="0" xfId="0" applyNumberFormat="1" applyProtection="1">
      <protection locked="0"/>
    </xf>
    <xf numFmtId="0" fontId="0" fillId="0" borderId="32" xfId="0" applyBorder="1" applyProtection="1">
      <protection locked="0"/>
    </xf>
    <xf numFmtId="168" fontId="0" fillId="0" borderId="33" xfId="1" applyNumberFormat="1" applyFont="1" applyBorder="1" applyAlignment="1" applyProtection="1">
      <alignment horizontal="right"/>
      <protection locked="0"/>
    </xf>
    <xf numFmtId="0" fontId="24" fillId="10" borderId="25" xfId="0" applyFont="1" applyFill="1" applyBorder="1" applyAlignment="1">
      <alignment horizontal="left" vertical="center" wrapText="1"/>
    </xf>
    <xf numFmtId="0" fontId="24" fillId="10" borderId="34" xfId="0" applyFont="1" applyFill="1" applyBorder="1" applyAlignment="1">
      <alignment vertical="center"/>
    </xf>
    <xf numFmtId="168" fontId="25" fillId="10" borderId="34" xfId="1" applyNumberFormat="1" applyFont="1" applyFill="1" applyBorder="1" applyProtection="1"/>
    <xf numFmtId="168" fontId="25" fillId="10" borderId="7" xfId="1" applyNumberFormat="1" applyFont="1" applyFill="1" applyBorder="1" applyProtection="1"/>
    <xf numFmtId="0" fontId="0" fillId="0" borderId="35" xfId="0" applyBorder="1" applyProtection="1">
      <protection locked="0"/>
    </xf>
    <xf numFmtId="168" fontId="0" fillId="0" borderId="36" xfId="1" applyNumberFormat="1" applyFont="1" applyBorder="1" applyAlignment="1" applyProtection="1">
      <alignment horizontal="right"/>
      <protection locked="0"/>
    </xf>
    <xf numFmtId="0" fontId="25" fillId="0" borderId="0" xfId="0" applyFont="1"/>
    <xf numFmtId="9" fontId="0" fillId="0" borderId="0" xfId="2" applyFont="1" applyBorder="1" applyAlignment="1" applyProtection="1">
      <alignment horizontal="right"/>
      <protection locked="0"/>
    </xf>
    <xf numFmtId="0" fontId="24" fillId="10" borderId="23" xfId="0" applyFont="1" applyFill="1" applyBorder="1" applyAlignment="1">
      <alignment horizontal="center" vertical="center" wrapText="1"/>
    </xf>
    <xf numFmtId="0" fontId="24" fillId="10" borderId="28" xfId="0" applyFont="1" applyFill="1" applyBorder="1"/>
    <xf numFmtId="168" fontId="24" fillId="10" borderId="28" xfId="1" applyNumberFormat="1" applyFont="1" applyFill="1" applyBorder="1" applyProtection="1"/>
    <xf numFmtId="168" fontId="24" fillId="10" borderId="2" xfId="1" applyNumberFormat="1" applyFont="1" applyFill="1" applyBorder="1" applyProtection="1"/>
    <xf numFmtId="168" fontId="25" fillId="0" borderId="0" xfId="1" applyNumberFormat="1" applyFont="1" applyFill="1" applyBorder="1" applyProtection="1">
      <protection locked="0"/>
    </xf>
    <xf numFmtId="0" fontId="24" fillId="10" borderId="24" xfId="0" applyFont="1" applyFill="1" applyBorder="1" applyAlignment="1">
      <alignment horizontal="center" vertical="center" wrapText="1"/>
    </xf>
    <xf numFmtId="0" fontId="25" fillId="10" borderId="0" xfId="0" applyFont="1" applyFill="1"/>
    <xf numFmtId="168" fontId="0" fillId="0" borderId="0" xfId="1" applyNumberFormat="1" applyFont="1" applyBorder="1" applyAlignment="1" applyProtection="1">
      <alignment horizontal="right"/>
      <protection locked="0"/>
    </xf>
    <xf numFmtId="0" fontId="27" fillId="10" borderId="0" xfId="0" applyFont="1" applyFill="1"/>
    <xf numFmtId="168" fontId="27" fillId="10" borderId="0" xfId="1" applyNumberFormat="1" applyFont="1" applyFill="1" applyBorder="1" applyProtection="1"/>
    <xf numFmtId="168" fontId="27" fillId="10" borderId="22" xfId="1" applyNumberFormat="1" applyFont="1" applyFill="1" applyBorder="1" applyProtection="1"/>
    <xf numFmtId="169" fontId="0" fillId="0" borderId="0" xfId="2" applyNumberFormat="1" applyFont="1" applyBorder="1" applyAlignment="1" applyProtection="1">
      <alignment horizontal="right"/>
      <protection locked="0"/>
    </xf>
    <xf numFmtId="10" fontId="0" fillId="0" borderId="0" xfId="2" applyNumberFormat="1" applyFont="1" applyBorder="1" applyAlignment="1" applyProtection="1">
      <alignment horizontal="right"/>
      <protection locked="0"/>
    </xf>
    <xf numFmtId="168" fontId="0" fillId="0" borderId="0" xfId="2" applyNumberFormat="1" applyFont="1" applyBorder="1" applyAlignment="1" applyProtection="1">
      <alignment horizontal="right"/>
      <protection locked="0"/>
    </xf>
    <xf numFmtId="0" fontId="24" fillId="10" borderId="25" xfId="0" applyFont="1" applyFill="1" applyBorder="1" applyAlignment="1">
      <alignment horizontal="center" vertical="center" wrapText="1"/>
    </xf>
    <xf numFmtId="0" fontId="27" fillId="10" borderId="34" xfId="0" applyFont="1" applyFill="1" applyBorder="1"/>
    <xf numFmtId="168" fontId="27" fillId="10" borderId="34" xfId="1" applyNumberFormat="1" applyFont="1" applyFill="1" applyBorder="1" applyProtection="1"/>
    <xf numFmtId="168" fontId="27" fillId="10" borderId="7" xfId="1" applyNumberFormat="1" applyFont="1" applyFill="1" applyBorder="1" applyProtection="1"/>
    <xf numFmtId="170" fontId="25" fillId="0" borderId="0" xfId="1" applyNumberFormat="1" applyFont="1" applyFill="1" applyBorder="1" applyProtection="1">
      <protection locked="0"/>
    </xf>
    <xf numFmtId="0" fontId="0" fillId="12" borderId="0" xfId="0" applyFill="1" applyProtection="1">
      <protection locked="0"/>
    </xf>
    <xf numFmtId="168" fontId="14" fillId="3" borderId="0" xfId="1" applyNumberFormat="1" applyFont="1" applyFill="1" applyBorder="1" applyAlignment="1" applyProtection="1">
      <alignment horizontal="right"/>
      <protection locked="0"/>
    </xf>
    <xf numFmtId="0" fontId="28" fillId="0" borderId="23" xfId="0" applyFont="1" applyBorder="1" applyAlignment="1" applyProtection="1">
      <alignment horizontal="center" vertical="center" wrapText="1"/>
      <protection locked="0"/>
    </xf>
    <xf numFmtId="0" fontId="28" fillId="0" borderId="28" xfId="0" applyFont="1" applyBorder="1" applyProtection="1">
      <protection locked="0"/>
    </xf>
    <xf numFmtId="168" fontId="28" fillId="0" borderId="28" xfId="1" applyNumberFormat="1" applyFont="1" applyBorder="1" applyProtection="1">
      <protection locked="0"/>
    </xf>
    <xf numFmtId="168" fontId="28" fillId="0" borderId="2" xfId="1" applyNumberFormat="1" applyFont="1" applyBorder="1" applyAlignment="1" applyProtection="1">
      <alignment horizontal="center"/>
      <protection locked="0"/>
    </xf>
    <xf numFmtId="0" fontId="28" fillId="0" borderId="24" xfId="0" applyFont="1" applyBorder="1" applyAlignment="1" applyProtection="1">
      <alignment horizontal="center" vertical="center" wrapText="1"/>
      <protection locked="0"/>
    </xf>
    <xf numFmtId="0" fontId="29" fillId="0" borderId="0" xfId="0" applyFont="1" applyProtection="1">
      <protection locked="0"/>
    </xf>
    <xf numFmtId="168" fontId="29" fillId="2" borderId="0" xfId="1" applyNumberFormat="1" applyFont="1" applyFill="1" applyBorder="1" applyProtection="1">
      <protection locked="0"/>
    </xf>
    <xf numFmtId="168" fontId="29" fillId="4" borderId="0" xfId="1" applyNumberFormat="1" applyFont="1" applyFill="1" applyBorder="1" applyProtection="1">
      <protection locked="0"/>
    </xf>
    <xf numFmtId="168" fontId="29" fillId="0" borderId="22" xfId="1" applyNumberFormat="1" applyFont="1" applyBorder="1" applyProtection="1">
      <protection locked="0"/>
    </xf>
    <xf numFmtId="0" fontId="0" fillId="13" borderId="0" xfId="0" applyFill="1" applyProtection="1">
      <protection locked="0"/>
    </xf>
    <xf numFmtId="168" fontId="0" fillId="13" borderId="0" xfId="1" applyNumberFormat="1" applyFont="1" applyFill="1" applyBorder="1" applyAlignment="1" applyProtection="1">
      <alignment horizontal="right"/>
      <protection locked="0"/>
    </xf>
    <xf numFmtId="0" fontId="17" fillId="14" borderId="0" xfId="0" applyFont="1" applyFill="1" applyAlignment="1" applyProtection="1">
      <alignment horizontal="center" vertical="center" wrapText="1"/>
      <protection locked="0"/>
    </xf>
    <xf numFmtId="2" fontId="29" fillId="0" borderId="0" xfId="0" applyNumberFormat="1" applyFont="1" applyProtection="1">
      <protection locked="0"/>
    </xf>
    <xf numFmtId="0" fontId="4" fillId="0" borderId="0" xfId="0" applyFont="1" applyAlignment="1" applyProtection="1">
      <alignment horizontal="center" vertical="center" wrapText="1"/>
      <protection locked="0"/>
    </xf>
    <xf numFmtId="0" fontId="4" fillId="0" borderId="0" xfId="0" applyFont="1" applyAlignment="1" applyProtection="1">
      <alignment horizontal="center" vertical="center"/>
      <protection locked="0"/>
    </xf>
    <xf numFmtId="0" fontId="28" fillId="0" borderId="25" xfId="0" applyFont="1" applyBorder="1" applyAlignment="1" applyProtection="1">
      <alignment horizontal="center" vertical="center" wrapText="1"/>
      <protection locked="0"/>
    </xf>
    <xf numFmtId="0" fontId="29" fillId="10" borderId="34" xfId="0" applyFont="1" applyFill="1" applyBorder="1" applyProtection="1">
      <protection locked="0"/>
    </xf>
    <xf numFmtId="168" fontId="29" fillId="10" borderId="34" xfId="1" applyNumberFormat="1" applyFont="1" applyFill="1" applyBorder="1" applyProtection="1">
      <protection locked="0"/>
    </xf>
    <xf numFmtId="168" fontId="29" fillId="10" borderId="7" xfId="1" applyNumberFormat="1" applyFont="1" applyFill="1" applyBorder="1" applyProtection="1">
      <protection locked="0"/>
    </xf>
    <xf numFmtId="0" fontId="0" fillId="0" borderId="0" xfId="0" applyAlignment="1" applyProtection="1">
      <alignment vertical="top" wrapText="1"/>
      <protection locked="0"/>
    </xf>
    <xf numFmtId="0" fontId="0" fillId="0" borderId="0" xfId="0" applyAlignment="1" applyProtection="1">
      <alignment horizontal="right" vertical="top" wrapText="1"/>
      <protection locked="0"/>
    </xf>
    <xf numFmtId="0" fontId="28" fillId="0" borderId="0" xfId="0" applyFont="1" applyProtection="1">
      <protection locked="0"/>
    </xf>
    <xf numFmtId="168" fontId="29" fillId="0" borderId="0" xfId="1" applyNumberFormat="1" applyFont="1" applyProtection="1">
      <protection locked="0"/>
    </xf>
    <xf numFmtId="0" fontId="30" fillId="10" borderId="37" xfId="0" applyFont="1" applyFill="1" applyBorder="1" applyAlignment="1">
      <alignment vertical="center"/>
    </xf>
    <xf numFmtId="168" fontId="30" fillId="10" borderId="37" xfId="1" applyNumberFormat="1" applyFont="1" applyFill="1" applyBorder="1" applyAlignment="1" applyProtection="1">
      <alignment vertical="center"/>
    </xf>
    <xf numFmtId="0" fontId="4" fillId="0" borderId="0" xfId="0" applyFont="1" applyAlignment="1" applyProtection="1">
      <alignment horizontal="left" vertical="top" wrapText="1"/>
      <protection locked="0"/>
    </xf>
    <xf numFmtId="0" fontId="30" fillId="10" borderId="0" xfId="0" applyFont="1" applyFill="1" applyAlignment="1">
      <alignment vertical="center"/>
    </xf>
    <xf numFmtId="168" fontId="30" fillId="10" borderId="0" xfId="1" applyNumberFormat="1" applyFont="1" applyFill="1" applyBorder="1" applyAlignment="1" applyProtection="1">
      <alignment vertical="center"/>
    </xf>
    <xf numFmtId="0" fontId="28" fillId="0" borderId="0" xfId="0" applyFont="1"/>
    <xf numFmtId="168" fontId="29" fillId="0" borderId="0" xfId="1" applyNumberFormat="1" applyFont="1" applyFill="1" applyProtection="1"/>
    <xf numFmtId="0" fontId="28" fillId="10" borderId="10" xfId="0" applyFont="1" applyFill="1" applyBorder="1"/>
    <xf numFmtId="168" fontId="29" fillId="10" borderId="10" xfId="1" applyNumberFormat="1" applyFont="1" applyFill="1" applyBorder="1" applyProtection="1"/>
    <xf numFmtId="171" fontId="0" fillId="10" borderId="0" xfId="1" applyNumberFormat="1" applyFont="1" applyFill="1" applyProtection="1"/>
    <xf numFmtId="0" fontId="0" fillId="10" borderId="0" xfId="0" applyFill="1"/>
    <xf numFmtId="168" fontId="0" fillId="10" borderId="0" xfId="1" applyNumberFormat="1" applyFont="1" applyFill="1" applyProtection="1"/>
    <xf numFmtId="9" fontId="0" fillId="10" borderId="0" xfId="0" applyNumberFormat="1" applyFill="1" applyAlignment="1">
      <alignment horizontal="left"/>
    </xf>
    <xf numFmtId="0" fontId="30" fillId="10" borderId="0" xfId="0" applyFont="1" applyFill="1" applyAlignment="1" applyProtection="1">
      <alignment vertical="center"/>
      <protection locked="0"/>
    </xf>
    <xf numFmtId="171" fontId="30" fillId="10" borderId="0" xfId="1" applyNumberFormat="1" applyFont="1" applyFill="1" applyAlignment="1" applyProtection="1">
      <alignment vertical="center"/>
      <protection locked="0"/>
    </xf>
    <xf numFmtId="172" fontId="30" fillId="10" borderId="0" xfId="1" applyNumberFormat="1" applyFont="1" applyFill="1" applyAlignment="1" applyProtection="1">
      <alignment vertical="center"/>
      <protection locked="0"/>
    </xf>
    <xf numFmtId="168" fontId="30" fillId="10" borderId="0" xfId="1" applyNumberFormat="1" applyFont="1" applyFill="1" applyAlignment="1" applyProtection="1">
      <alignment vertical="center"/>
      <protection locked="0"/>
    </xf>
    <xf numFmtId="0" fontId="30" fillId="0" borderId="0" xfId="0" applyFont="1" applyAlignment="1" applyProtection="1">
      <alignment vertical="center"/>
      <protection locked="0"/>
    </xf>
    <xf numFmtId="173" fontId="30" fillId="0" borderId="0" xfId="0" applyNumberFormat="1" applyFont="1" applyAlignment="1" applyProtection="1">
      <alignment vertical="center"/>
      <protection locked="0"/>
    </xf>
    <xf numFmtId="171" fontId="13" fillId="15" borderId="0" xfId="1" applyNumberFormat="1" applyFont="1" applyFill="1" applyBorder="1" applyProtection="1">
      <protection locked="0"/>
    </xf>
    <xf numFmtId="171" fontId="0" fillId="0" borderId="0" xfId="1" applyNumberFormat="1" applyFont="1" applyProtection="1">
      <protection locked="0"/>
    </xf>
    <xf numFmtId="9" fontId="0" fillId="0" borderId="0" xfId="0" applyNumberFormat="1" applyProtection="1">
      <protection locked="0"/>
    </xf>
    <xf numFmtId="168" fontId="0" fillId="0" borderId="0" xfId="0" applyNumberFormat="1" applyProtection="1">
      <protection locked="0"/>
    </xf>
    <xf numFmtId="9" fontId="0" fillId="0" borderId="38" xfId="2" applyFont="1" applyBorder="1" applyAlignment="1" applyProtection="1">
      <alignment vertical="center"/>
      <protection locked="0"/>
    </xf>
    <xf numFmtId="0" fontId="0" fillId="0" borderId="38" xfId="0" applyBorder="1" applyProtection="1">
      <protection locked="0"/>
    </xf>
    <xf numFmtId="174" fontId="0" fillId="0" borderId="38" xfId="1" applyNumberFormat="1" applyFont="1" applyBorder="1" applyProtection="1">
      <protection locked="0"/>
    </xf>
    <xf numFmtId="175" fontId="0" fillId="0" borderId="0" xfId="0" applyNumberFormat="1" applyProtection="1">
      <protection locked="0"/>
    </xf>
    <xf numFmtId="167" fontId="0" fillId="0" borderId="0" xfId="1" applyFont="1" applyProtection="1">
      <protection locked="0"/>
    </xf>
    <xf numFmtId="0" fontId="4" fillId="0" borderId="0" xfId="0" applyFont="1" applyAlignment="1" applyProtection="1">
      <alignment horizontal="right"/>
      <protection locked="0"/>
    </xf>
    <xf numFmtId="0" fontId="4" fillId="14" borderId="0" xfId="0" applyFont="1" applyFill="1" applyProtection="1">
      <protection locked="0"/>
    </xf>
    <xf numFmtId="170" fontId="4" fillId="14" borderId="0" xfId="1" applyNumberFormat="1" applyFont="1" applyFill="1" applyProtection="1">
      <protection locked="0"/>
    </xf>
    <xf numFmtId="0" fontId="0" fillId="0" borderId="4" xfId="0" applyBorder="1" applyProtection="1">
      <protection locked="0"/>
    </xf>
    <xf numFmtId="0" fontId="0" fillId="0" borderId="28" xfId="0" applyBorder="1" applyProtection="1">
      <protection locked="0"/>
    </xf>
    <xf numFmtId="168" fontId="0" fillId="4" borderId="28" xfId="1" applyNumberFormat="1" applyFont="1" applyFill="1" applyBorder="1" applyProtection="1">
      <protection locked="0"/>
    </xf>
    <xf numFmtId="0" fontId="0" fillId="0" borderId="2" xfId="0" applyBorder="1" applyProtection="1">
      <protection locked="0"/>
    </xf>
    <xf numFmtId="168" fontId="0" fillId="0" borderId="0" xfId="1" applyNumberFormat="1" applyFont="1" applyBorder="1" applyProtection="1">
      <protection locked="0"/>
    </xf>
    <xf numFmtId="0" fontId="0" fillId="0" borderId="34" xfId="0" applyBorder="1" applyProtection="1">
      <protection locked="0"/>
    </xf>
    <xf numFmtId="0" fontId="0" fillId="0" borderId="7" xfId="0" applyBorder="1" applyProtection="1">
      <protection locked="0"/>
    </xf>
    <xf numFmtId="0" fontId="0" fillId="0" borderId="39" xfId="0" applyBorder="1"/>
    <xf numFmtId="0" fontId="0" fillId="0" borderId="40" xfId="0" applyBorder="1"/>
    <xf numFmtId="0" fontId="4" fillId="14" borderId="40" xfId="0" applyFont="1" applyFill="1" applyBorder="1" applyAlignment="1">
      <alignment horizontal="center"/>
    </xf>
    <xf numFmtId="0" fontId="0" fillId="0" borderId="41" xfId="0" applyBorder="1"/>
    <xf numFmtId="0" fontId="0" fillId="0" borderId="42" xfId="0" applyBorder="1"/>
    <xf numFmtId="0" fontId="4" fillId="10" borderId="0" xfId="0" applyFont="1" applyFill="1" applyAlignment="1">
      <alignment horizontal="center"/>
    </xf>
    <xf numFmtId="0" fontId="0" fillId="0" borderId="43" xfId="0" applyBorder="1"/>
    <xf numFmtId="0" fontId="4" fillId="0" borderId="44" xfId="0" applyFont="1" applyBorder="1"/>
    <xf numFmtId="0" fontId="4" fillId="0" borderId="10" xfId="0" applyFont="1" applyBorder="1"/>
    <xf numFmtId="0" fontId="4" fillId="0" borderId="10" xfId="0" applyFont="1" applyBorder="1" applyAlignment="1">
      <alignment horizontal="right"/>
    </xf>
    <xf numFmtId="0" fontId="4" fillId="14" borderId="10" xfId="0" applyFont="1" applyFill="1" applyBorder="1" applyAlignment="1" applyProtection="1">
      <alignment horizontal="right"/>
      <protection locked="0"/>
    </xf>
    <xf numFmtId="0" fontId="31" fillId="0" borderId="0" xfId="0" applyFont="1" applyAlignment="1">
      <alignment vertical="top"/>
    </xf>
    <xf numFmtId="0" fontId="31" fillId="0" borderId="0" xfId="0" applyFont="1" applyAlignment="1">
      <alignment horizontal="right" vertical="top" wrapText="1"/>
    </xf>
    <xf numFmtId="168" fontId="0" fillId="0" borderId="0" xfId="1" applyNumberFormat="1" applyFont="1" applyBorder="1" applyAlignment="1" applyProtection="1">
      <alignment horizontal="right"/>
    </xf>
    <xf numFmtId="9" fontId="0" fillId="0" borderId="0" xfId="2" applyFont="1" applyBorder="1" applyProtection="1"/>
    <xf numFmtId="9" fontId="0" fillId="14" borderId="0" xfId="2" applyFont="1" applyFill="1" applyBorder="1" applyProtection="1">
      <protection locked="0"/>
    </xf>
    <xf numFmtId="168" fontId="0" fillId="0" borderId="0" xfId="1" applyNumberFormat="1" applyFont="1" applyBorder="1" applyProtection="1"/>
    <xf numFmtId="9" fontId="0" fillId="0" borderId="0" xfId="2" applyFont="1" applyBorder="1" applyAlignment="1" applyProtection="1">
      <alignment horizontal="right"/>
    </xf>
    <xf numFmtId="0" fontId="31" fillId="0" borderId="0" xfId="0" applyFont="1" applyAlignment="1">
      <alignment vertical="top" wrapText="1"/>
    </xf>
    <xf numFmtId="169" fontId="0" fillId="0" borderId="0" xfId="2" applyNumberFormat="1" applyFont="1" applyBorder="1" applyAlignment="1" applyProtection="1">
      <alignment horizontal="right"/>
    </xf>
    <xf numFmtId="168" fontId="0" fillId="0" borderId="0" xfId="0" applyNumberFormat="1"/>
    <xf numFmtId="0" fontId="12" fillId="16" borderId="42" xfId="0" applyFont="1" applyFill="1" applyBorder="1"/>
    <xf numFmtId="0" fontId="0" fillId="16" borderId="0" xfId="0" applyFill="1"/>
    <xf numFmtId="169" fontId="0" fillId="0" borderId="0" xfId="2" applyNumberFormat="1" applyFont="1" applyBorder="1" applyProtection="1"/>
    <xf numFmtId="0" fontId="0" fillId="0" borderId="44" xfId="0" applyBorder="1"/>
    <xf numFmtId="0" fontId="0" fillId="0" borderId="10" xfId="0" applyBorder="1"/>
    <xf numFmtId="0" fontId="0" fillId="0" borderId="45" xfId="0" applyBorder="1"/>
    <xf numFmtId="0" fontId="20" fillId="0" borderId="0" xfId="0" applyFont="1" applyAlignment="1" applyProtection="1">
      <alignment horizontal="center" vertical="center" wrapText="1"/>
      <protection locked="0"/>
    </xf>
    <xf numFmtId="0" fontId="32" fillId="2" borderId="4" xfId="0" applyFont="1" applyFill="1" applyBorder="1" applyAlignment="1" applyProtection="1">
      <alignment horizontal="center" vertical="center" wrapText="1"/>
      <protection locked="0"/>
    </xf>
    <xf numFmtId="0" fontId="32" fillId="2" borderId="28" xfId="0" applyFont="1" applyFill="1" applyBorder="1" applyAlignment="1" applyProtection="1">
      <alignment horizontal="center" vertical="center" wrapText="1"/>
      <protection locked="0"/>
    </xf>
    <xf numFmtId="0" fontId="32" fillId="2" borderId="2" xfId="0" applyFont="1" applyFill="1" applyBorder="1" applyAlignment="1" applyProtection="1">
      <alignment horizontal="center" vertical="center" wrapText="1"/>
      <protection locked="0"/>
    </xf>
    <xf numFmtId="0" fontId="32" fillId="17" borderId="4" xfId="0" applyFont="1" applyFill="1" applyBorder="1" applyAlignment="1" applyProtection="1">
      <alignment horizontal="center" vertical="center" wrapText="1"/>
      <protection locked="0"/>
    </xf>
    <xf numFmtId="0" fontId="32" fillId="17" borderId="28" xfId="0" applyFont="1" applyFill="1" applyBorder="1" applyAlignment="1" applyProtection="1">
      <alignment horizontal="center" vertical="center" wrapText="1"/>
      <protection locked="0"/>
    </xf>
    <xf numFmtId="0" fontId="32" fillId="17" borderId="2" xfId="0" applyFont="1" applyFill="1" applyBorder="1" applyAlignment="1" applyProtection="1">
      <alignment horizontal="center" vertical="center" wrapText="1"/>
      <protection locked="0"/>
    </xf>
    <xf numFmtId="0" fontId="33" fillId="4" borderId="21" xfId="0" applyFont="1" applyFill="1" applyBorder="1" applyAlignment="1">
      <alignment horizontal="center" vertical="center"/>
    </xf>
    <xf numFmtId="171" fontId="33" fillId="4" borderId="0" xfId="1" applyNumberFormat="1" applyFont="1" applyFill="1" applyBorder="1" applyAlignment="1" applyProtection="1">
      <alignment horizontal="center" vertical="center"/>
    </xf>
    <xf numFmtId="0" fontId="11" fillId="0" borderId="0" xfId="0" applyFont="1" applyAlignment="1" applyProtection="1">
      <alignment horizontal="left" vertical="top" wrapText="1"/>
      <protection locked="0"/>
    </xf>
    <xf numFmtId="0" fontId="32" fillId="2" borderId="6" xfId="0" applyFont="1" applyFill="1" applyBorder="1" applyAlignment="1" applyProtection="1">
      <alignment horizontal="center" vertical="center" wrapText="1"/>
      <protection locked="0"/>
    </xf>
    <xf numFmtId="0" fontId="32" fillId="2" borderId="34" xfId="0" applyFont="1" applyFill="1" applyBorder="1" applyAlignment="1" applyProtection="1">
      <alignment horizontal="center" vertical="center" wrapText="1"/>
      <protection locked="0"/>
    </xf>
    <xf numFmtId="0" fontId="32" fillId="2" borderId="7" xfId="0" applyFont="1" applyFill="1" applyBorder="1" applyAlignment="1" applyProtection="1">
      <alignment horizontal="center" vertical="center" wrapText="1"/>
      <protection locked="0"/>
    </xf>
    <xf numFmtId="0" fontId="32" fillId="17" borderId="6" xfId="0" applyFont="1" applyFill="1" applyBorder="1" applyAlignment="1" applyProtection="1">
      <alignment horizontal="center" vertical="center" wrapText="1"/>
      <protection locked="0"/>
    </xf>
    <xf numFmtId="0" fontId="32" fillId="17" borderId="34" xfId="0" applyFont="1" applyFill="1" applyBorder="1" applyAlignment="1" applyProtection="1">
      <alignment horizontal="center" vertical="center" wrapText="1"/>
      <protection locked="0"/>
    </xf>
    <xf numFmtId="0" fontId="32" fillId="17" borderId="7" xfId="0" applyFont="1" applyFill="1" applyBorder="1" applyAlignment="1" applyProtection="1">
      <alignment horizontal="center" vertical="center" wrapText="1"/>
      <protection locked="0"/>
    </xf>
    <xf numFmtId="0" fontId="12" fillId="18" borderId="0" xfId="0" applyFont="1" applyFill="1" applyAlignment="1">
      <alignment horizontal="center" vertical="center"/>
    </xf>
    <xf numFmtId="168" fontId="19" fillId="18" borderId="25" xfId="1" applyNumberFormat="1" applyFont="1" applyFill="1" applyBorder="1" applyAlignment="1" applyProtection="1">
      <alignment horizontal="center" vertical="center" wrapText="1"/>
    </xf>
    <xf numFmtId="168" fontId="19" fillId="18" borderId="25" xfId="1" applyNumberFormat="1" applyFont="1" applyFill="1" applyBorder="1" applyAlignment="1" applyProtection="1">
      <alignment horizontal="center" vertical="center"/>
    </xf>
    <xf numFmtId="0" fontId="33" fillId="4" borderId="21" xfId="0" applyFont="1" applyFill="1" applyBorder="1" applyAlignment="1">
      <alignment vertical="center"/>
    </xf>
    <xf numFmtId="171" fontId="33" fillId="4" borderId="0" xfId="1" applyNumberFormat="1" applyFont="1" applyFill="1" applyBorder="1" applyAlignment="1" applyProtection="1">
      <alignment vertical="center"/>
    </xf>
    <xf numFmtId="0" fontId="11" fillId="0" borderId="0" xfId="0" applyFont="1" applyAlignment="1" applyProtection="1">
      <alignment vertical="top" wrapText="1"/>
      <protection locked="0"/>
    </xf>
    <xf numFmtId="0" fontId="12" fillId="0" borderId="0" xfId="0" applyFont="1" applyAlignment="1" applyProtection="1">
      <alignment horizontal="center" vertical="center" wrapText="1"/>
      <protection locked="0"/>
    </xf>
    <xf numFmtId="168" fontId="19" fillId="2" borderId="3" xfId="1" applyNumberFormat="1" applyFont="1" applyFill="1" applyBorder="1" applyAlignment="1" applyProtection="1">
      <alignment horizontal="center" vertical="center" wrapText="1"/>
      <protection locked="0"/>
    </xf>
    <xf numFmtId="168" fontId="12" fillId="0" borderId="0" xfId="1" applyNumberFormat="1" applyFont="1" applyFill="1" applyBorder="1" applyAlignment="1" applyProtection="1">
      <alignment horizontal="center" vertical="center"/>
      <protection locked="0"/>
    </xf>
    <xf numFmtId="168" fontId="19" fillId="2" borderId="3" xfId="1" applyNumberFormat="1" applyFont="1" applyFill="1" applyBorder="1" applyAlignment="1" applyProtection="1">
      <alignment horizontal="center" vertical="center"/>
      <protection locked="0"/>
    </xf>
    <xf numFmtId="0" fontId="4" fillId="0" borderId="0" xfId="0" applyFont="1" applyAlignment="1" applyProtection="1">
      <alignment horizontal="center" vertical="center" wrapText="1"/>
      <protection locked="0"/>
    </xf>
    <xf numFmtId="0" fontId="33" fillId="0" borderId="0" xfId="0" applyFont="1" applyAlignment="1">
      <alignment vertical="center"/>
    </xf>
    <xf numFmtId="171" fontId="33" fillId="0" borderId="0" xfId="1" applyNumberFormat="1" applyFont="1" applyFill="1" applyBorder="1" applyAlignment="1" applyProtection="1">
      <alignment vertical="center"/>
    </xf>
    <xf numFmtId="0" fontId="20" fillId="0" borderId="0" xfId="0" applyFont="1" applyAlignment="1" applyProtection="1">
      <alignment vertical="center" wrapText="1"/>
      <protection locked="0"/>
    </xf>
    <xf numFmtId="0" fontId="34" fillId="0" borderId="0" xfId="0" applyFont="1" applyAlignment="1" applyProtection="1">
      <alignment horizontal="left" vertical="center"/>
      <protection locked="0"/>
    </xf>
    <xf numFmtId="171" fontId="19" fillId="0" borderId="0" xfId="1" applyNumberFormat="1" applyFont="1" applyFill="1" applyBorder="1" applyAlignment="1" applyProtection="1">
      <alignment horizontal="left" vertical="center"/>
      <protection locked="0"/>
    </xf>
    <xf numFmtId="168" fontId="4" fillId="0" borderId="0" xfId="1" applyNumberFormat="1" applyFont="1" applyFill="1" applyBorder="1" applyProtection="1">
      <protection locked="0"/>
    </xf>
    <xf numFmtId="0" fontId="0" fillId="0" borderId="0" xfId="0" applyAlignment="1" applyProtection="1">
      <alignment horizontal="center"/>
      <protection locked="0"/>
    </xf>
    <xf numFmtId="171" fontId="1" fillId="0" borderId="0" xfId="1" applyNumberFormat="1" applyFont="1" applyFill="1" applyBorder="1" applyAlignment="1" applyProtection="1">
      <alignment horizontal="center"/>
      <protection locked="0"/>
    </xf>
    <xf numFmtId="0" fontId="19" fillId="0" borderId="23" xfId="0" applyFont="1" applyBorder="1" applyAlignment="1" applyProtection="1">
      <alignment horizontal="left" vertical="center"/>
      <protection locked="0"/>
    </xf>
    <xf numFmtId="0" fontId="4" fillId="0" borderId="4" xfId="0" applyFont="1" applyBorder="1" applyAlignment="1" applyProtection="1">
      <alignment horizontal="center"/>
      <protection locked="0"/>
    </xf>
    <xf numFmtId="0" fontId="4" fillId="0" borderId="28" xfId="0" applyFont="1" applyBorder="1" applyAlignment="1" applyProtection="1">
      <alignment horizontal="center"/>
      <protection locked="0"/>
    </xf>
    <xf numFmtId="0" fontId="4" fillId="0" borderId="2" xfId="0" applyFont="1" applyBorder="1" applyAlignment="1" applyProtection="1">
      <alignment horizontal="center"/>
      <protection locked="0"/>
    </xf>
    <xf numFmtId="0" fontId="4" fillId="0" borderId="23" xfId="0" applyFont="1" applyBorder="1" applyAlignment="1" applyProtection="1">
      <alignment vertical="center"/>
      <protection locked="0"/>
    </xf>
    <xf numFmtId="0" fontId="0" fillId="0" borderId="0" xfId="0" applyAlignment="1" applyProtection="1">
      <alignment wrapText="1"/>
      <protection locked="0"/>
    </xf>
    <xf numFmtId="0" fontId="19" fillId="0" borderId="25" xfId="0" applyFont="1" applyBorder="1" applyAlignment="1" applyProtection="1">
      <alignment horizontal="left" vertical="center"/>
      <protection locked="0"/>
    </xf>
    <xf numFmtId="0" fontId="4" fillId="0" borderId="6" xfId="0" applyFont="1" applyBorder="1" applyAlignment="1" applyProtection="1">
      <alignment horizontal="center"/>
      <protection locked="0"/>
    </xf>
    <xf numFmtId="9" fontId="4" fillId="0" borderId="34" xfId="0" applyNumberFormat="1" applyFont="1" applyBorder="1" applyAlignment="1" applyProtection="1">
      <alignment horizontal="center"/>
      <protection locked="0"/>
    </xf>
    <xf numFmtId="0" fontId="4" fillId="0" borderId="7" xfId="0" applyFont="1" applyBorder="1" applyAlignment="1" applyProtection="1">
      <alignment horizontal="center"/>
      <protection locked="0"/>
    </xf>
    <xf numFmtId="0" fontId="4" fillId="0" borderId="25" xfId="0" applyFont="1" applyBorder="1" applyAlignment="1" applyProtection="1">
      <alignment horizontal="center" vertical="center"/>
      <protection locked="0"/>
    </xf>
    <xf numFmtId="0" fontId="4" fillId="0" borderId="24" xfId="0" applyFont="1" applyBorder="1" applyProtection="1">
      <protection locked="0"/>
    </xf>
    <xf numFmtId="168" fontId="4" fillId="2" borderId="21" xfId="1" applyNumberFormat="1" applyFont="1" applyFill="1" applyBorder="1" applyAlignment="1" applyProtection="1">
      <alignment horizontal="center"/>
      <protection locked="0"/>
    </xf>
    <xf numFmtId="168" fontId="4" fillId="2" borderId="0" xfId="1" applyNumberFormat="1" applyFont="1" applyFill="1" applyBorder="1" applyAlignment="1" applyProtection="1">
      <alignment horizontal="center"/>
      <protection locked="0"/>
    </xf>
    <xf numFmtId="168" fontId="4" fillId="2" borderId="22" xfId="1" applyNumberFormat="1" applyFont="1" applyFill="1" applyBorder="1" applyAlignment="1" applyProtection="1">
      <alignment horizontal="center"/>
      <protection locked="0"/>
    </xf>
    <xf numFmtId="9" fontId="4" fillId="2" borderId="24" xfId="2" applyFont="1" applyFill="1" applyBorder="1" applyAlignment="1" applyProtection="1">
      <alignment horizontal="center"/>
      <protection locked="0"/>
    </xf>
    <xf numFmtId="9" fontId="4" fillId="4" borderId="24" xfId="2" applyFont="1" applyFill="1" applyBorder="1" applyAlignment="1" applyProtection="1">
      <alignment horizontal="center"/>
    </xf>
    <xf numFmtId="0" fontId="4" fillId="0" borderId="25" xfId="0" applyFont="1" applyBorder="1" applyProtection="1">
      <protection locked="0"/>
    </xf>
    <xf numFmtId="168" fontId="4" fillId="2" borderId="6" xfId="1" applyNumberFormat="1" applyFont="1" applyFill="1" applyBorder="1" applyAlignment="1" applyProtection="1">
      <alignment horizontal="center"/>
      <protection locked="0"/>
    </xf>
    <xf numFmtId="168" fontId="4" fillId="2" borderId="34" xfId="1" applyNumberFormat="1" applyFont="1" applyFill="1" applyBorder="1" applyAlignment="1" applyProtection="1">
      <alignment horizontal="center"/>
      <protection locked="0"/>
    </xf>
    <xf numFmtId="168" fontId="4" fillId="2" borderId="7" xfId="1" applyNumberFormat="1" applyFont="1" applyFill="1" applyBorder="1" applyAlignment="1" applyProtection="1">
      <alignment horizontal="center"/>
      <protection locked="0"/>
    </xf>
    <xf numFmtId="9" fontId="4" fillId="4" borderId="25" xfId="2" applyFont="1" applyFill="1" applyBorder="1" applyAlignment="1" applyProtection="1">
      <alignment horizontal="center"/>
    </xf>
    <xf numFmtId="9" fontId="4" fillId="2" borderId="25" xfId="2" applyFont="1" applyFill="1" applyBorder="1" applyAlignment="1" applyProtection="1">
      <alignment horizontal="center"/>
      <protection locked="0"/>
    </xf>
    <xf numFmtId="0" fontId="35" fillId="19" borderId="0" xfId="0" applyFont="1" applyFill="1" applyAlignment="1" applyProtection="1">
      <alignment horizontal="center" vertical="center"/>
      <protection locked="0"/>
    </xf>
    <xf numFmtId="0" fontId="36" fillId="2" borderId="0" xfId="0" applyFont="1" applyFill="1" applyAlignment="1" applyProtection="1">
      <alignment horizontal="left" vertical="center"/>
      <protection locked="0"/>
    </xf>
    <xf numFmtId="0" fontId="0" fillId="0" borderId="0" xfId="0" applyAlignment="1" applyProtection="1">
      <alignment horizontal="center"/>
      <protection locked="0"/>
    </xf>
    <xf numFmtId="0" fontId="0" fillId="16" borderId="0" xfId="0" applyFill="1" applyProtection="1">
      <protection locked="0"/>
    </xf>
    <xf numFmtId="0" fontId="37" fillId="0" borderId="38" xfId="0" applyFont="1" applyBorder="1" applyProtection="1">
      <protection locked="0"/>
    </xf>
    <xf numFmtId="166" fontId="23" fillId="8" borderId="38" xfId="0" applyNumberFormat="1" applyFont="1" applyFill="1" applyBorder="1" applyAlignment="1" applyProtection="1">
      <alignment horizontal="center" vertical="center"/>
      <protection locked="0"/>
    </xf>
    <xf numFmtId="0" fontId="2" fillId="4" borderId="38" xfId="0" applyFont="1" applyFill="1" applyBorder="1" applyProtection="1">
      <protection locked="0"/>
    </xf>
    <xf numFmtId="168" fontId="2" fillId="4" borderId="38" xfId="1" applyNumberFormat="1" applyFont="1" applyFill="1" applyBorder="1" applyProtection="1"/>
    <xf numFmtId="168" fontId="5" fillId="4" borderId="38" xfId="1" applyNumberFormat="1" applyFont="1" applyFill="1" applyBorder="1" applyProtection="1"/>
    <xf numFmtId="0" fontId="38" fillId="2" borderId="46" xfId="0" applyFont="1" applyFill="1" applyBorder="1" applyAlignment="1" applyProtection="1">
      <alignment horizontal="center" vertical="center" wrapText="1"/>
      <protection locked="0"/>
    </xf>
    <xf numFmtId="0" fontId="38" fillId="2" borderId="47" xfId="0" applyFont="1" applyFill="1" applyBorder="1" applyAlignment="1" applyProtection="1">
      <alignment horizontal="center" vertical="center" wrapText="1"/>
      <protection locked="0"/>
    </xf>
    <xf numFmtId="0" fontId="38" fillId="17" borderId="23" xfId="0" applyFont="1" applyFill="1" applyBorder="1" applyAlignment="1" applyProtection="1">
      <alignment horizontal="center" vertical="center" wrapText="1"/>
      <protection locked="0"/>
    </xf>
    <xf numFmtId="168" fontId="2" fillId="4" borderId="38" xfId="0" applyNumberFormat="1" applyFont="1" applyFill="1" applyBorder="1" applyProtection="1">
      <protection locked="0"/>
    </xf>
    <xf numFmtId="168" fontId="2" fillId="4" borderId="38" xfId="0" applyNumberFormat="1" applyFont="1" applyFill="1" applyBorder="1"/>
    <xf numFmtId="9" fontId="2" fillId="4" borderId="29" xfId="2" applyFont="1" applyFill="1" applyBorder="1" applyProtection="1">
      <protection locked="0"/>
    </xf>
    <xf numFmtId="0" fontId="38" fillId="2" borderId="48" xfId="0" applyFont="1" applyFill="1" applyBorder="1" applyAlignment="1" applyProtection="1">
      <alignment horizontal="center" vertical="center" wrapText="1"/>
      <protection locked="0"/>
    </xf>
    <xf numFmtId="0" fontId="38" fillId="2" borderId="49" xfId="0" applyFont="1" applyFill="1" applyBorder="1" applyAlignment="1" applyProtection="1">
      <alignment horizontal="center" vertical="center" wrapText="1"/>
      <protection locked="0"/>
    </xf>
    <xf numFmtId="0" fontId="38" fillId="17" borderId="24" xfId="0" applyFont="1" applyFill="1" applyBorder="1" applyAlignment="1" applyProtection="1">
      <alignment horizontal="center" vertical="center" wrapText="1"/>
      <protection locked="0"/>
    </xf>
    <xf numFmtId="0" fontId="38" fillId="17" borderId="25" xfId="0" applyFont="1" applyFill="1" applyBorder="1" applyAlignment="1" applyProtection="1">
      <alignment horizontal="center" vertical="center" wrapText="1"/>
      <protection locked="0"/>
    </xf>
    <xf numFmtId="168" fontId="0" fillId="2" borderId="38" xfId="0" applyNumberFormat="1" applyFill="1" applyBorder="1" applyProtection="1">
      <protection locked="0"/>
    </xf>
    <xf numFmtId="168" fontId="0" fillId="14" borderId="38" xfId="0" applyNumberFormat="1" applyFill="1" applyBorder="1"/>
    <xf numFmtId="0" fontId="0" fillId="2" borderId="50" xfId="0" applyFill="1" applyBorder="1" applyAlignment="1" applyProtection="1">
      <alignment wrapText="1"/>
      <protection locked="0"/>
    </xf>
    <xf numFmtId="0" fontId="0" fillId="17" borderId="44" xfId="0" applyFill="1" applyBorder="1" applyAlignment="1" applyProtection="1">
      <alignment wrapText="1"/>
      <protection locked="0"/>
    </xf>
    <xf numFmtId="0" fontId="0" fillId="17" borderId="51" xfId="0" applyFill="1" applyBorder="1" applyAlignment="1" applyProtection="1">
      <alignment wrapText="1"/>
      <protection locked="0"/>
    </xf>
    <xf numFmtId="0" fontId="0" fillId="2" borderId="52" xfId="0" applyFill="1" applyBorder="1" applyAlignment="1" applyProtection="1">
      <alignment wrapText="1"/>
      <protection locked="0"/>
    </xf>
    <xf numFmtId="0" fontId="0" fillId="17" borderId="17" xfId="0" applyFill="1" applyBorder="1" applyAlignment="1" applyProtection="1">
      <alignment wrapText="1"/>
      <protection locked="0"/>
    </xf>
    <xf numFmtId="0" fontId="0" fillId="17" borderId="53" xfId="0" applyFill="1" applyBorder="1" applyAlignment="1" applyProtection="1">
      <alignment wrapText="1"/>
      <protection locked="0"/>
    </xf>
    <xf numFmtId="0" fontId="0" fillId="2" borderId="48" xfId="0" applyFill="1" applyBorder="1" applyAlignment="1" applyProtection="1">
      <alignment wrapText="1"/>
      <protection locked="0"/>
    </xf>
    <xf numFmtId="0" fontId="0" fillId="17" borderId="13" xfId="0" applyFill="1" applyBorder="1" applyAlignment="1" applyProtection="1">
      <alignment wrapText="1"/>
      <protection locked="0"/>
    </xf>
    <xf numFmtId="0" fontId="0" fillId="17" borderId="54" xfId="0" applyFill="1" applyBorder="1" applyAlignment="1" applyProtection="1">
      <alignment wrapText="1"/>
      <protection locked="0"/>
    </xf>
    <xf numFmtId="0" fontId="38" fillId="2" borderId="55" xfId="0" applyFont="1" applyFill="1" applyBorder="1" applyAlignment="1" applyProtection="1">
      <alignment horizontal="center" vertical="center" wrapText="1"/>
      <protection locked="0"/>
    </xf>
    <xf numFmtId="0" fontId="38" fillId="2" borderId="56" xfId="0" applyFont="1" applyFill="1" applyBorder="1" applyAlignment="1" applyProtection="1">
      <alignment horizontal="center" vertical="center" wrapText="1"/>
      <protection locked="0"/>
    </xf>
    <xf numFmtId="0" fontId="0" fillId="2" borderId="46" xfId="0" applyFill="1" applyBorder="1" applyAlignment="1" applyProtection="1">
      <alignment wrapText="1"/>
      <protection locked="0"/>
    </xf>
    <xf numFmtId="0" fontId="0" fillId="17" borderId="47" xfId="0" applyFill="1" applyBorder="1" applyAlignment="1" applyProtection="1">
      <alignment wrapText="1"/>
      <protection locked="0"/>
    </xf>
    <xf numFmtId="0" fontId="0" fillId="17" borderId="57" xfId="0" applyFill="1" applyBorder="1" applyAlignment="1" applyProtection="1">
      <alignment wrapText="1"/>
      <protection locked="0"/>
    </xf>
    <xf numFmtId="0" fontId="0" fillId="17" borderId="49" xfId="0" applyFill="1" applyBorder="1" applyAlignment="1" applyProtection="1">
      <alignment wrapText="1"/>
      <protection locked="0"/>
    </xf>
    <xf numFmtId="0" fontId="0" fillId="17" borderId="58" xfId="0" applyFill="1" applyBorder="1" applyAlignment="1" applyProtection="1">
      <alignment wrapText="1"/>
      <protection locked="0"/>
    </xf>
    <xf numFmtId="0" fontId="0" fillId="17" borderId="46" xfId="0" applyFill="1" applyBorder="1" applyAlignment="1" applyProtection="1">
      <alignment wrapText="1"/>
      <protection locked="0"/>
    </xf>
    <xf numFmtId="0" fontId="0" fillId="17" borderId="52" xfId="0" applyFill="1" applyBorder="1" applyAlignment="1" applyProtection="1">
      <alignment wrapText="1"/>
      <protection locked="0"/>
    </xf>
    <xf numFmtId="0" fontId="0" fillId="17" borderId="48" xfId="0" applyFill="1" applyBorder="1" applyAlignment="1" applyProtection="1">
      <alignment wrapText="1"/>
      <protection locked="0"/>
    </xf>
    <xf numFmtId="168" fontId="2" fillId="0" borderId="38" xfId="1" applyNumberFormat="1" applyFont="1" applyFill="1" applyBorder="1" applyProtection="1">
      <protection locked="0"/>
    </xf>
    <xf numFmtId="0" fontId="15" fillId="20" borderId="0" xfId="4" applyFont="1" applyFill="1" applyAlignment="1" applyProtection="1">
      <alignment horizontal="right"/>
      <protection locked="0"/>
    </xf>
    <xf numFmtId="17" fontId="14" fillId="20" borderId="0" xfId="4" applyNumberFormat="1" applyFont="1" applyFill="1" applyProtection="1">
      <protection locked="0"/>
    </xf>
    <xf numFmtId="17" fontId="14" fillId="3" borderId="0" xfId="4" applyNumberFormat="1" applyFont="1" applyFill="1" applyProtection="1">
      <protection locked="0"/>
    </xf>
  </cellXfs>
  <cellStyles count="6">
    <cellStyle name="Comma" xfId="1" builtinId="3"/>
    <cellStyle name="Hyperlink" xfId="3" builtinId="8"/>
    <cellStyle name="Normal" xfId="0" builtinId="0"/>
    <cellStyle name="Normal 11" xfId="4" xr:uid="{88FA8569-C773-4B2B-A192-E6D377C16636}"/>
    <cellStyle name="Normal 2 2 2 2" xfId="5" xr:uid="{2CF0110D-8E0B-4033-9EDD-5C7840ED74FA}"/>
    <cellStyle name="Percent" xfId="2" builtinId="5"/>
  </cellStyles>
  <dxfs count="37">
    <dxf>
      <fill>
        <patternFill>
          <bgColor rgb="FFFF0000"/>
        </patternFill>
      </fill>
    </dxf>
    <dxf>
      <fill>
        <patternFill>
          <bgColor rgb="FFFF0000"/>
        </patternFill>
      </fill>
    </dxf>
    <dxf>
      <fill>
        <patternFill>
          <bgColor rgb="FFFFFF00"/>
        </patternFill>
      </fill>
    </dxf>
    <dxf>
      <fill>
        <patternFill>
          <bgColor theme="0" tint="-0.499984740745262"/>
        </patternFill>
      </fill>
    </dxf>
    <dxf>
      <fill>
        <patternFill>
          <bgColor rgb="FFFFFF00"/>
        </patternFill>
      </fill>
    </dxf>
    <dxf>
      <fill>
        <patternFill>
          <bgColor rgb="FFFFFF00"/>
        </patternFill>
      </fill>
    </dxf>
    <dxf>
      <fill>
        <patternFill>
          <bgColor theme="0" tint="-0.499984740745262"/>
        </patternFill>
      </fill>
    </dxf>
    <dxf>
      <fill>
        <patternFill>
          <bgColor theme="0" tint="-0.499984740745262"/>
        </patternFill>
      </fill>
    </dxf>
    <dxf>
      <fill>
        <patternFill>
          <bgColor theme="7" tint="0.79998168889431442"/>
        </patternFill>
      </fill>
    </dxf>
    <dxf>
      <fill>
        <patternFill>
          <bgColor theme="0" tint="-0.499984740745262"/>
        </patternFill>
      </fill>
    </dxf>
    <dxf>
      <fill>
        <patternFill>
          <bgColor theme="7" tint="0.79998168889431442"/>
        </patternFill>
      </fill>
    </dxf>
    <dxf>
      <fill>
        <patternFill>
          <bgColor theme="7" tint="0.79998168889431442"/>
        </patternFill>
      </fill>
    </dxf>
    <dxf>
      <fill>
        <patternFill>
          <bgColor rgb="FFFF0000"/>
        </patternFill>
      </fill>
    </dxf>
    <dxf>
      <fill>
        <patternFill>
          <bgColor rgb="FFFF0000"/>
        </patternFill>
      </fill>
    </dxf>
    <dxf>
      <fill>
        <patternFill patternType="none">
          <bgColor auto="1"/>
        </patternFill>
      </fill>
    </dxf>
    <dxf>
      <fill>
        <patternFill>
          <bgColor rgb="FFFF0000"/>
        </patternFill>
      </fill>
    </dxf>
    <dxf>
      <fill>
        <patternFill>
          <bgColor rgb="FFFF0000"/>
        </patternFill>
      </fill>
    </dxf>
    <dxf>
      <font>
        <color auto="1"/>
      </font>
      <fill>
        <patternFill>
          <bgColor theme="1"/>
        </patternFill>
      </fill>
    </dxf>
    <dxf>
      <fill>
        <patternFill>
          <bgColor rgb="FFFF0000"/>
        </patternFill>
      </fill>
    </dxf>
    <dxf>
      <font>
        <color rgb="FFFF0000"/>
      </font>
    </dxf>
    <dxf>
      <font>
        <color rgb="FFFF0000"/>
      </font>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ont>
        <color rgb="FFFF0000"/>
      </font>
    </dxf>
    <dxf>
      <font>
        <color rgb="FFFF0000"/>
      </font>
    </dxf>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18</xdr:col>
      <xdr:colOff>171450</xdr:colOff>
      <xdr:row>74</xdr:row>
      <xdr:rowOff>19050</xdr:rowOff>
    </xdr:from>
    <xdr:to>
      <xdr:col>20</xdr:col>
      <xdr:colOff>1447800</xdr:colOff>
      <xdr:row>91</xdr:row>
      <xdr:rowOff>20955</xdr:rowOff>
    </xdr:to>
    <xdr:pic>
      <xdr:nvPicPr>
        <xdr:cNvPr id="2" name="Picture 1">
          <a:extLst>
            <a:ext uri="{FF2B5EF4-FFF2-40B4-BE49-F238E27FC236}">
              <a16:creationId xmlns:a16="http://schemas.microsoft.com/office/drawing/2014/main" id="{BFC86E48-34CD-4FD3-8181-0F1AA9D4CB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96510" y="14230350"/>
          <a:ext cx="3409950" cy="3400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16</xdr:col>
      <xdr:colOff>136301</xdr:colOff>
      <xdr:row>12</xdr:row>
      <xdr:rowOff>56103</xdr:rowOff>
    </xdr:from>
    <xdr:to>
      <xdr:col>27</xdr:col>
      <xdr:colOff>208816</xdr:colOff>
      <xdr:row>23</xdr:row>
      <xdr:rowOff>111497</xdr:rowOff>
    </xdr:to>
    <xdr:pic>
      <xdr:nvPicPr>
        <xdr:cNvPr id="2" name="Picture 2">
          <a:extLst>
            <a:ext uri="{FF2B5EF4-FFF2-40B4-BE49-F238E27FC236}">
              <a16:creationId xmlns:a16="http://schemas.microsoft.com/office/drawing/2014/main" id="{3E697696-EAB8-46FD-B326-A62179871D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27561" y="3325083"/>
          <a:ext cx="10542395" cy="15489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ganpatlp\AppData\Local\Microsoft\Windows\INetCache\Content.Outlook\RZ8Q43DH\Visa%20Direct%20Trading212%20CKO%20LA%20-%20Latest%20Pricing%20vMar25%20v1.xlsm" TargetMode="External"/><Relationship Id="rId1" Type="http://schemas.openxmlformats.org/officeDocument/2006/relationships/externalLinkPath" Target="file:///C:\Users\ganpatlp\AppData\Local\Microsoft\Windows\INetCache\Content.Outlook\RZ8Q43DH\Visa%20Direct%20Trading212%20CKO%20LA%20-%20Latest%20Pricing%20vMar25%20v1.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finance\BPA%20Structuring\Consolidated\WIP%20NEW%20TOM%20CLIENT%20INCENTIVE%20MODEL%20-%20Copy\Model%20Build\v2.6%20Working%20Files\2024%20Model%20v.2.6_v14_MI%20Macro.xlsb" TargetMode="External"/><Relationship Id="rId1" Type="http://schemas.openxmlformats.org/officeDocument/2006/relationships/externalLinkPath" Target="/finance/BPA%20Structuring/Consolidated/WIP%20NEW%20TOM%20CLIENT%20INCENTIVE%20MODEL%20-%20Copy/Model%20Build/v2.6%20Working%20Files/2024%20Model%20v.2.6_v14_MI%20Macro.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hange Control"/>
      <sheetName val="Automation"/>
      <sheetName val="Schedules"/>
      <sheetName val="Intro"/>
      <sheetName val="P&amp;L"/>
      <sheetName val="TAM"/>
      <sheetName val="CKO merchants"/>
      <sheetName val="Inputs"/>
      <sheetName val="MI Database Template"/>
      <sheetName val="Calcs"/>
      <sheetName val="Offer Summary(All Volumes)"/>
      <sheetName val="Amortised P&amp;L EUR"/>
      <sheetName val="VDDR1"/>
      <sheetName val="VDDR2"/>
      <sheetName val="Amortised P&amp;L USD"/>
      <sheetName val="VIK Guide"/>
      <sheetName val="Metrics2"/>
      <sheetName val="Dropdown Logic"/>
      <sheetName val="Database"/>
      <sheetName val="Metrics"/>
      <sheetName val="MSD Reporting"/>
      <sheetName val="Scorecard"/>
      <sheetName val="Deal Size Table"/>
      <sheetName val="List of Deals"/>
      <sheetName val="Dorp Down Lists"/>
      <sheetName val="Deals Database"/>
      <sheetName val="Ref2.Europe Acquirer Fees"/>
    </sheetNames>
    <sheetDataSet>
      <sheetData sheetId="0">
        <row r="11">
          <cell r="C11" t="str">
            <v>vJun24 eff 01/07/2024</v>
          </cell>
        </row>
      </sheetData>
      <sheetData sheetId="1"/>
      <sheetData sheetId="2"/>
      <sheetData sheetId="3"/>
      <sheetData sheetId="4"/>
      <sheetData sheetId="5"/>
      <sheetData sheetId="6"/>
      <sheetData sheetId="7"/>
      <sheetData sheetId="8">
        <row r="9">
          <cell r="P9" t="str">
            <v>Please Select Approval Route !!!</v>
          </cell>
        </row>
        <row r="10">
          <cell r="P10" t="str">
            <v>GPIC</v>
          </cell>
        </row>
        <row r="11">
          <cell r="P11" t="str">
            <v>EDR</v>
          </cell>
        </row>
        <row r="12">
          <cell r="P12" t="str">
            <v>GIG</v>
          </cell>
        </row>
        <row r="13">
          <cell r="P13" t="str">
            <v>VD FAST TRACK</v>
          </cell>
        </row>
        <row r="14">
          <cell r="P14" t="str">
            <v>Other (provide in comments)</v>
          </cell>
        </row>
      </sheetData>
      <sheetData sheetId="9">
        <row r="3">
          <cell r="B3">
            <v>0.01</v>
          </cell>
        </row>
        <row r="4">
          <cell r="B4">
            <v>0.01</v>
          </cell>
        </row>
        <row r="68">
          <cell r="AN68">
            <v>293215.99999999994</v>
          </cell>
          <cell r="AO68">
            <v>293215.99999999994</v>
          </cell>
          <cell r="AP68">
            <v>0</v>
          </cell>
          <cell r="AQ68">
            <v>0</v>
          </cell>
          <cell r="AR68">
            <v>0</v>
          </cell>
          <cell r="AS68">
            <v>0</v>
          </cell>
          <cell r="AT68">
            <v>0</v>
          </cell>
          <cell r="AU68">
            <v>0</v>
          </cell>
          <cell r="AV68">
            <v>0</v>
          </cell>
          <cell r="AW68">
            <v>0</v>
          </cell>
          <cell r="AY68">
            <v>53669.000000000007</v>
          </cell>
          <cell r="AZ68">
            <v>53669.000000000007</v>
          </cell>
          <cell r="BA68">
            <v>0</v>
          </cell>
          <cell r="BB68">
            <v>0</v>
          </cell>
          <cell r="BC68">
            <v>0</v>
          </cell>
          <cell r="BD68">
            <v>0</v>
          </cell>
          <cell r="BE68">
            <v>0</v>
          </cell>
          <cell r="BF68">
            <v>0</v>
          </cell>
          <cell r="BG68">
            <v>0</v>
          </cell>
          <cell r="BH68">
            <v>0</v>
          </cell>
        </row>
        <row r="69">
          <cell r="AN69">
            <v>0</v>
          </cell>
          <cell r="AO69">
            <v>0</v>
          </cell>
          <cell r="AP69">
            <v>0</v>
          </cell>
          <cell r="AQ69">
            <v>0</v>
          </cell>
          <cell r="AR69">
            <v>0</v>
          </cell>
          <cell r="AS69">
            <v>0</v>
          </cell>
          <cell r="AT69">
            <v>0</v>
          </cell>
          <cell r="AU69">
            <v>0</v>
          </cell>
          <cell r="AV69">
            <v>0</v>
          </cell>
          <cell r="AW69">
            <v>0</v>
          </cell>
          <cell r="AY69">
            <v>0</v>
          </cell>
          <cell r="AZ69">
            <v>0</v>
          </cell>
          <cell r="BA69">
            <v>0</v>
          </cell>
          <cell r="BB69">
            <v>0</v>
          </cell>
          <cell r="BC69">
            <v>0</v>
          </cell>
          <cell r="BD69">
            <v>0</v>
          </cell>
          <cell r="BE69">
            <v>0</v>
          </cell>
          <cell r="BF69">
            <v>0</v>
          </cell>
          <cell r="BG69">
            <v>0</v>
          </cell>
          <cell r="BH69">
            <v>0</v>
          </cell>
          <cell r="BJ69">
            <v>0</v>
          </cell>
          <cell r="BK69">
            <v>0</v>
          </cell>
          <cell r="BL69">
            <v>0</v>
          </cell>
          <cell r="BM69">
            <v>0</v>
          </cell>
          <cell r="BN69">
            <v>0</v>
          </cell>
          <cell r="BO69">
            <v>0</v>
          </cell>
          <cell r="BP69">
            <v>0</v>
          </cell>
          <cell r="BQ69">
            <v>0</v>
          </cell>
          <cell r="BR69">
            <v>0</v>
          </cell>
          <cell r="BS69">
            <v>0</v>
          </cell>
        </row>
        <row r="70">
          <cell r="AN70">
            <v>0</v>
          </cell>
          <cell r="AO70">
            <v>0</v>
          </cell>
          <cell r="AP70">
            <v>0</v>
          </cell>
          <cell r="AQ70">
            <v>0</v>
          </cell>
          <cell r="AR70">
            <v>0</v>
          </cell>
          <cell r="AS70">
            <v>0</v>
          </cell>
          <cell r="AT70">
            <v>0</v>
          </cell>
          <cell r="AU70">
            <v>0</v>
          </cell>
          <cell r="AV70">
            <v>0</v>
          </cell>
          <cell r="AW70">
            <v>0</v>
          </cell>
          <cell r="AY70">
            <v>0</v>
          </cell>
          <cell r="AZ70">
            <v>0</v>
          </cell>
          <cell r="BA70">
            <v>0</v>
          </cell>
          <cell r="BB70">
            <v>0</v>
          </cell>
          <cell r="BC70">
            <v>0</v>
          </cell>
          <cell r="BD70">
            <v>0</v>
          </cell>
          <cell r="BE70">
            <v>0</v>
          </cell>
          <cell r="BF70">
            <v>0</v>
          </cell>
          <cell r="BG70">
            <v>0</v>
          </cell>
          <cell r="BH70">
            <v>0</v>
          </cell>
          <cell r="BJ70">
            <v>0</v>
          </cell>
          <cell r="BK70">
            <v>0</v>
          </cell>
          <cell r="BL70">
            <v>0</v>
          </cell>
          <cell r="BM70">
            <v>0</v>
          </cell>
          <cell r="BN70">
            <v>0</v>
          </cell>
          <cell r="BO70">
            <v>0</v>
          </cell>
          <cell r="BP70">
            <v>0</v>
          </cell>
          <cell r="BQ70">
            <v>0</v>
          </cell>
          <cell r="BR70">
            <v>0</v>
          </cell>
          <cell r="BS70">
            <v>0</v>
          </cell>
        </row>
        <row r="71">
          <cell r="AN71">
            <v>0</v>
          </cell>
          <cell r="AO71">
            <v>0</v>
          </cell>
          <cell r="AP71">
            <v>0</v>
          </cell>
          <cell r="AQ71">
            <v>0</v>
          </cell>
          <cell r="AR71">
            <v>0</v>
          </cell>
          <cell r="AS71">
            <v>0</v>
          </cell>
          <cell r="AT71">
            <v>0</v>
          </cell>
          <cell r="AU71">
            <v>0</v>
          </cell>
          <cell r="AV71">
            <v>0</v>
          </cell>
          <cell r="AW71">
            <v>0</v>
          </cell>
          <cell r="AY71">
            <v>0</v>
          </cell>
          <cell r="AZ71">
            <v>0</v>
          </cell>
          <cell r="BA71">
            <v>0</v>
          </cell>
          <cell r="BB71">
            <v>0</v>
          </cell>
          <cell r="BC71">
            <v>0</v>
          </cell>
          <cell r="BD71">
            <v>0</v>
          </cell>
          <cell r="BE71">
            <v>0</v>
          </cell>
          <cell r="BF71">
            <v>0</v>
          </cell>
          <cell r="BG71">
            <v>0</v>
          </cell>
          <cell r="BH71">
            <v>0</v>
          </cell>
          <cell r="BJ71">
            <v>0</v>
          </cell>
          <cell r="BK71">
            <v>0</v>
          </cell>
          <cell r="BL71">
            <v>0</v>
          </cell>
          <cell r="BM71">
            <v>0</v>
          </cell>
          <cell r="BN71">
            <v>0</v>
          </cell>
          <cell r="BO71">
            <v>0</v>
          </cell>
          <cell r="BP71">
            <v>0</v>
          </cell>
          <cell r="BQ71">
            <v>0</v>
          </cell>
          <cell r="BR71">
            <v>0</v>
          </cell>
          <cell r="BS71">
            <v>0</v>
          </cell>
        </row>
        <row r="84">
          <cell r="AC84">
            <v>0</v>
          </cell>
          <cell r="AD84">
            <v>0</v>
          </cell>
          <cell r="AE84">
            <v>0</v>
          </cell>
          <cell r="AF84">
            <v>0</v>
          </cell>
          <cell r="AG84">
            <v>0</v>
          </cell>
          <cell r="AH84">
            <v>0</v>
          </cell>
          <cell r="AI84">
            <v>0</v>
          </cell>
          <cell r="AJ84">
            <v>0</v>
          </cell>
          <cell r="AK84">
            <v>0</v>
          </cell>
          <cell r="AL84">
            <v>0</v>
          </cell>
        </row>
        <row r="90">
          <cell r="AC90">
            <v>0</v>
          </cell>
          <cell r="AD90">
            <v>0</v>
          </cell>
          <cell r="AE90">
            <v>0</v>
          </cell>
          <cell r="AF90">
            <v>0</v>
          </cell>
          <cell r="AG90">
            <v>0</v>
          </cell>
          <cell r="AH90">
            <v>0</v>
          </cell>
          <cell r="AI90">
            <v>0</v>
          </cell>
          <cell r="AJ90">
            <v>0</v>
          </cell>
          <cell r="AK90">
            <v>0</v>
          </cell>
          <cell r="AL90">
            <v>0</v>
          </cell>
        </row>
        <row r="92">
          <cell r="AN92">
            <v>346884.99999999994</v>
          </cell>
          <cell r="AO92">
            <v>346884.99999999994</v>
          </cell>
          <cell r="AP92">
            <v>0</v>
          </cell>
          <cell r="AQ92">
            <v>0</v>
          </cell>
          <cell r="AR92">
            <v>0</v>
          </cell>
          <cell r="AS92">
            <v>0</v>
          </cell>
          <cell r="AT92">
            <v>0</v>
          </cell>
          <cell r="AU92">
            <v>0</v>
          </cell>
          <cell r="AV92">
            <v>0</v>
          </cell>
          <cell r="AW92">
            <v>0</v>
          </cell>
        </row>
        <row r="93">
          <cell r="AN93">
            <v>0</v>
          </cell>
          <cell r="AO93">
            <v>0</v>
          </cell>
          <cell r="AP93">
            <v>0</v>
          </cell>
          <cell r="AQ93">
            <v>0</v>
          </cell>
          <cell r="AR93">
            <v>0</v>
          </cell>
          <cell r="AS93">
            <v>0</v>
          </cell>
          <cell r="AT93">
            <v>0</v>
          </cell>
          <cell r="AU93">
            <v>0</v>
          </cell>
          <cell r="AV93">
            <v>0</v>
          </cell>
          <cell r="AW93">
            <v>0</v>
          </cell>
        </row>
        <row r="94">
          <cell r="AN94">
            <v>0</v>
          </cell>
          <cell r="AO94">
            <v>0</v>
          </cell>
          <cell r="AP94">
            <v>0</v>
          </cell>
          <cell r="AQ94">
            <v>0</v>
          </cell>
          <cell r="AR94">
            <v>0</v>
          </cell>
          <cell r="AS94">
            <v>0</v>
          </cell>
          <cell r="AT94">
            <v>0</v>
          </cell>
          <cell r="AU94">
            <v>0</v>
          </cell>
          <cell r="AV94">
            <v>0</v>
          </cell>
          <cell r="AW94">
            <v>0</v>
          </cell>
        </row>
        <row r="95">
          <cell r="AN95">
            <v>0</v>
          </cell>
          <cell r="AO95">
            <v>0</v>
          </cell>
          <cell r="AP95">
            <v>0</v>
          </cell>
          <cell r="AQ95">
            <v>0</v>
          </cell>
          <cell r="AR95">
            <v>0</v>
          </cell>
          <cell r="AS95">
            <v>0</v>
          </cell>
          <cell r="AT95">
            <v>0</v>
          </cell>
          <cell r="AU95">
            <v>0</v>
          </cell>
          <cell r="AV95">
            <v>0</v>
          </cell>
          <cell r="AW95">
            <v>0</v>
          </cell>
        </row>
        <row r="98">
          <cell r="AN98">
            <v>0</v>
          </cell>
          <cell r="AO98">
            <v>0</v>
          </cell>
          <cell r="AP98">
            <v>0</v>
          </cell>
          <cell r="AQ98">
            <v>0</v>
          </cell>
          <cell r="AR98">
            <v>0</v>
          </cell>
          <cell r="AS98">
            <v>0</v>
          </cell>
          <cell r="AT98">
            <v>0</v>
          </cell>
          <cell r="AU98">
            <v>0</v>
          </cell>
          <cell r="AV98">
            <v>0</v>
          </cell>
          <cell r="AW98">
            <v>0</v>
          </cell>
        </row>
        <row r="99">
          <cell r="AN99">
            <v>0</v>
          </cell>
          <cell r="AO99">
            <v>0</v>
          </cell>
          <cell r="AP99">
            <v>0</v>
          </cell>
          <cell r="AQ99">
            <v>0</v>
          </cell>
          <cell r="AR99">
            <v>0</v>
          </cell>
          <cell r="AS99">
            <v>0</v>
          </cell>
          <cell r="AT99">
            <v>0</v>
          </cell>
          <cell r="AU99">
            <v>0</v>
          </cell>
          <cell r="AV99">
            <v>0</v>
          </cell>
          <cell r="AW99">
            <v>0</v>
          </cell>
        </row>
        <row r="100">
          <cell r="AN100">
            <v>0</v>
          </cell>
          <cell r="AO100">
            <v>0</v>
          </cell>
          <cell r="AP100">
            <v>0</v>
          </cell>
          <cell r="AQ100">
            <v>0</v>
          </cell>
          <cell r="AR100">
            <v>0</v>
          </cell>
          <cell r="AS100">
            <v>0</v>
          </cell>
          <cell r="AT100">
            <v>0</v>
          </cell>
          <cell r="AU100">
            <v>0</v>
          </cell>
          <cell r="AV100">
            <v>0</v>
          </cell>
          <cell r="AW100">
            <v>0</v>
          </cell>
        </row>
        <row r="101">
          <cell r="AN101">
            <v>0</v>
          </cell>
          <cell r="AO101">
            <v>0</v>
          </cell>
          <cell r="AP101">
            <v>0</v>
          </cell>
          <cell r="AQ101">
            <v>0</v>
          </cell>
          <cell r="AR101">
            <v>0</v>
          </cell>
          <cell r="AS101">
            <v>0</v>
          </cell>
          <cell r="AT101">
            <v>0</v>
          </cell>
          <cell r="AU101">
            <v>0</v>
          </cell>
          <cell r="AV101">
            <v>0</v>
          </cell>
          <cell r="AW101">
            <v>0</v>
          </cell>
        </row>
        <row r="102">
          <cell r="AN102">
            <v>0</v>
          </cell>
          <cell r="AO102">
            <v>0</v>
          </cell>
          <cell r="AP102">
            <v>0</v>
          </cell>
          <cell r="AQ102">
            <v>0</v>
          </cell>
          <cell r="AR102">
            <v>0</v>
          </cell>
          <cell r="AS102">
            <v>0</v>
          </cell>
          <cell r="AT102">
            <v>0</v>
          </cell>
          <cell r="AU102">
            <v>0</v>
          </cell>
          <cell r="AV102">
            <v>0</v>
          </cell>
          <cell r="AW102">
            <v>0</v>
          </cell>
        </row>
        <row r="104">
          <cell r="AN104">
            <v>0</v>
          </cell>
          <cell r="AO104">
            <v>0</v>
          </cell>
          <cell r="AP104">
            <v>0</v>
          </cell>
          <cell r="AQ104">
            <v>0</v>
          </cell>
          <cell r="AR104">
            <v>0</v>
          </cell>
          <cell r="AS104">
            <v>0</v>
          </cell>
          <cell r="AT104">
            <v>0</v>
          </cell>
          <cell r="AU104">
            <v>0</v>
          </cell>
          <cell r="AV104">
            <v>0</v>
          </cell>
          <cell r="AW104">
            <v>0</v>
          </cell>
        </row>
        <row r="105">
          <cell r="AN105">
            <v>0</v>
          </cell>
          <cell r="AO105">
            <v>0</v>
          </cell>
          <cell r="AP105">
            <v>0</v>
          </cell>
          <cell r="AQ105">
            <v>0</v>
          </cell>
          <cell r="AR105">
            <v>0</v>
          </cell>
          <cell r="AS105">
            <v>0</v>
          </cell>
          <cell r="AT105">
            <v>0</v>
          </cell>
          <cell r="AU105">
            <v>0</v>
          </cell>
          <cell r="AV105">
            <v>0</v>
          </cell>
          <cell r="AW105">
            <v>0</v>
          </cell>
        </row>
        <row r="106">
          <cell r="AN106">
            <v>0</v>
          </cell>
          <cell r="AO106">
            <v>0</v>
          </cell>
          <cell r="AP106">
            <v>0</v>
          </cell>
          <cell r="AQ106">
            <v>0</v>
          </cell>
          <cell r="AR106">
            <v>0</v>
          </cell>
          <cell r="AS106">
            <v>0</v>
          </cell>
          <cell r="AT106">
            <v>0</v>
          </cell>
          <cell r="AU106">
            <v>0</v>
          </cell>
          <cell r="AV106">
            <v>0</v>
          </cell>
          <cell r="AW106">
            <v>0</v>
          </cell>
        </row>
        <row r="107">
          <cell r="AN107">
            <v>0</v>
          </cell>
          <cell r="AO107">
            <v>0</v>
          </cell>
          <cell r="AP107">
            <v>0</v>
          </cell>
          <cell r="AQ107">
            <v>0</v>
          </cell>
          <cell r="AR107">
            <v>0</v>
          </cell>
          <cell r="AS107">
            <v>0</v>
          </cell>
          <cell r="AT107">
            <v>0</v>
          </cell>
          <cell r="AU107">
            <v>0</v>
          </cell>
          <cell r="AV107">
            <v>0</v>
          </cell>
          <cell r="AW107">
            <v>0</v>
          </cell>
        </row>
        <row r="108">
          <cell r="AN108">
            <v>0</v>
          </cell>
          <cell r="AO108">
            <v>0</v>
          </cell>
          <cell r="AP108">
            <v>0</v>
          </cell>
          <cell r="AQ108">
            <v>0</v>
          </cell>
          <cell r="AR108">
            <v>0</v>
          </cell>
          <cell r="AS108">
            <v>0</v>
          </cell>
          <cell r="AT108">
            <v>0</v>
          </cell>
          <cell r="AU108">
            <v>0</v>
          </cell>
          <cell r="AV108">
            <v>0</v>
          </cell>
          <cell r="AW108">
            <v>0</v>
          </cell>
        </row>
      </sheetData>
      <sheetData sheetId="10"/>
      <sheetData sheetId="11"/>
      <sheetData sheetId="12"/>
      <sheetData sheetId="13"/>
      <sheetData sheetId="14"/>
      <sheetData sheetId="15"/>
      <sheetData sheetId="16"/>
      <sheetData sheetId="17">
        <row r="5">
          <cell r="AM5" t="str">
            <v>AA</v>
          </cell>
          <cell r="AN5" t="str">
            <v>AA</v>
          </cell>
        </row>
        <row r="6">
          <cell r="AM6" t="str">
            <v>BI</v>
          </cell>
          <cell r="AN6" t="str">
            <v>BI</v>
          </cell>
        </row>
        <row r="7">
          <cell r="AM7" t="str">
            <v>PP</v>
          </cell>
          <cell r="AN7" t="str">
            <v>PP</v>
          </cell>
        </row>
        <row r="8">
          <cell r="AM8" t="str">
            <v>WT</v>
          </cell>
          <cell r="AN8" t="str">
            <v>WT</v>
          </cell>
        </row>
        <row r="9">
          <cell r="AM9" t="str">
            <v>FT</v>
          </cell>
          <cell r="AN9" t="str">
            <v>BP</v>
          </cell>
        </row>
        <row r="10">
          <cell r="AM10" t="str">
            <v>FD</v>
          </cell>
          <cell r="AN10" t="str">
            <v>FD</v>
          </cell>
        </row>
        <row r="11">
          <cell r="AM11" t="str">
            <v>MP</v>
          </cell>
          <cell r="AN11" t="str">
            <v>GD</v>
          </cell>
        </row>
        <row r="12">
          <cell r="AM12" t="str">
            <v>PD</v>
          </cell>
          <cell r="AN12" t="str">
            <v>GP</v>
          </cell>
        </row>
        <row r="13">
          <cell r="AM13" t="str">
            <v>TU</v>
          </cell>
          <cell r="AN13" t="str">
            <v>LO</v>
          </cell>
        </row>
        <row r="14">
          <cell r="AN14" t="str">
            <v>MD</v>
          </cell>
        </row>
        <row r="15">
          <cell r="AN15" t="str">
            <v>OG</v>
          </cell>
        </row>
        <row r="16">
          <cell r="AN16" t="str">
            <v>PD</v>
          </cell>
        </row>
        <row r="17">
          <cell r="AN17" t="str">
            <v>TU</v>
          </cell>
        </row>
        <row r="18">
          <cell r="AN18" t="str">
            <v>CP</v>
          </cell>
        </row>
        <row r="19">
          <cell r="AN19" t="str">
            <v>FT</v>
          </cell>
        </row>
        <row r="20">
          <cell r="AN20" t="str">
            <v>MD</v>
          </cell>
        </row>
        <row r="21">
          <cell r="AN21" t="str">
            <v>DD</v>
          </cell>
        </row>
      </sheetData>
      <sheetData sheetId="18"/>
      <sheetData sheetId="19">
        <row r="114">
          <cell r="B114" t="str">
            <v>Andorra</v>
          </cell>
          <cell r="C114" t="str">
            <v>Southern Europe</v>
          </cell>
          <cell r="D114" t="str">
            <v>EEA</v>
          </cell>
        </row>
        <row r="115">
          <cell r="B115" t="str">
            <v>Austria</v>
          </cell>
          <cell r="C115" t="str">
            <v>Central Europe</v>
          </cell>
          <cell r="D115" t="str">
            <v>EEA</v>
          </cell>
        </row>
        <row r="116">
          <cell r="B116" t="str">
            <v>Belgium</v>
          </cell>
          <cell r="C116" t="str">
            <v>Central Europe</v>
          </cell>
          <cell r="D116" t="str">
            <v>EEA</v>
          </cell>
        </row>
        <row r="117">
          <cell r="B117" t="str">
            <v>Bulgaria</v>
          </cell>
          <cell r="C117" t="str">
            <v>South Eastern</v>
          </cell>
          <cell r="D117" t="str">
            <v>EEA</v>
          </cell>
        </row>
        <row r="118">
          <cell r="B118" t="str">
            <v>Cyprus</v>
          </cell>
          <cell r="C118" t="str">
            <v>South Eastern</v>
          </cell>
          <cell r="D118" t="str">
            <v>EEA</v>
          </cell>
        </row>
        <row r="119">
          <cell r="B119" t="str">
            <v>Croatia</v>
          </cell>
          <cell r="C119" t="str">
            <v>South Eastern</v>
          </cell>
          <cell r="D119" t="str">
            <v>EEA</v>
          </cell>
        </row>
        <row r="120">
          <cell r="B120" t="str">
            <v>Czech Republic</v>
          </cell>
          <cell r="C120" t="str">
            <v>Central Eastern Europe</v>
          </cell>
          <cell r="D120" t="str">
            <v>EEA</v>
          </cell>
        </row>
        <row r="121">
          <cell r="B121" t="str">
            <v>Denmark</v>
          </cell>
          <cell r="C121" t="str">
            <v>Nordics</v>
          </cell>
          <cell r="D121" t="str">
            <v>EEA</v>
          </cell>
        </row>
        <row r="122">
          <cell r="B122" t="str">
            <v>Estonia</v>
          </cell>
          <cell r="C122" t="str">
            <v>Nordics</v>
          </cell>
          <cell r="D122" t="str">
            <v>EEA</v>
          </cell>
        </row>
        <row r="123">
          <cell r="B123" t="str">
            <v>Finland</v>
          </cell>
          <cell r="C123" t="str">
            <v>Nordics</v>
          </cell>
          <cell r="D123" t="str">
            <v>EEA</v>
          </cell>
        </row>
        <row r="124">
          <cell r="B124" t="str">
            <v>France</v>
          </cell>
          <cell r="C124" t="str">
            <v>France</v>
          </cell>
          <cell r="D124" t="str">
            <v>EEA</v>
          </cell>
        </row>
        <row r="125">
          <cell r="B125" t="str">
            <v>Germany</v>
          </cell>
          <cell r="C125" t="str">
            <v>Central Europe</v>
          </cell>
          <cell r="D125" t="str">
            <v>EEA</v>
          </cell>
        </row>
        <row r="126">
          <cell r="B126" t="str">
            <v>Gibraltar</v>
          </cell>
          <cell r="C126" t="str">
            <v>UK + Eire</v>
          </cell>
          <cell r="D126" t="str">
            <v>EEA</v>
          </cell>
        </row>
        <row r="127">
          <cell r="B127" t="str">
            <v>Greece</v>
          </cell>
          <cell r="C127" t="str">
            <v>South Eastern</v>
          </cell>
          <cell r="D127" t="str">
            <v>EEA</v>
          </cell>
        </row>
        <row r="128">
          <cell r="B128" t="str">
            <v>Hungary</v>
          </cell>
          <cell r="C128" t="str">
            <v>Central Eastern Europe</v>
          </cell>
          <cell r="D128" t="str">
            <v>EEA</v>
          </cell>
        </row>
        <row r="129">
          <cell r="B129" t="str">
            <v>Iceland</v>
          </cell>
          <cell r="C129" t="str">
            <v>Nordics</v>
          </cell>
          <cell r="D129" t="str">
            <v>EEA</v>
          </cell>
        </row>
        <row r="130">
          <cell r="B130" t="str">
            <v>Ireland</v>
          </cell>
          <cell r="C130" t="str">
            <v>UK + Eire</v>
          </cell>
          <cell r="D130" t="str">
            <v>EEA</v>
          </cell>
        </row>
        <row r="131">
          <cell r="B131" t="str">
            <v>Israel</v>
          </cell>
          <cell r="C131" t="str">
            <v>South Eastern</v>
          </cell>
          <cell r="D131" t="str">
            <v>Israel</v>
          </cell>
        </row>
        <row r="132">
          <cell r="B132" t="str">
            <v>Italy</v>
          </cell>
          <cell r="C132" t="str">
            <v>Southern Europe</v>
          </cell>
          <cell r="D132" t="str">
            <v>EEA</v>
          </cell>
        </row>
        <row r="133">
          <cell r="B133" t="str">
            <v>Latvia</v>
          </cell>
          <cell r="C133" t="str">
            <v>Nordics</v>
          </cell>
          <cell r="D133" t="str">
            <v>EEA</v>
          </cell>
        </row>
        <row r="134">
          <cell r="B134" t="str">
            <v>Lithuania</v>
          </cell>
          <cell r="C134" t="str">
            <v>Nordics</v>
          </cell>
          <cell r="D134" t="str">
            <v>EEA</v>
          </cell>
        </row>
        <row r="135">
          <cell r="B135" t="str">
            <v>Luxembourg</v>
          </cell>
          <cell r="C135" t="str">
            <v>Central Europe</v>
          </cell>
          <cell r="D135" t="str">
            <v>EEA</v>
          </cell>
        </row>
        <row r="136">
          <cell r="B136" t="str">
            <v>Malta</v>
          </cell>
          <cell r="C136" t="str">
            <v>South Eastern</v>
          </cell>
          <cell r="D136" t="str">
            <v>EEA</v>
          </cell>
        </row>
        <row r="137">
          <cell r="B137" t="str">
            <v>Netherlands</v>
          </cell>
          <cell r="C137" t="str">
            <v>Central Europe</v>
          </cell>
          <cell r="D137" t="str">
            <v>EEA</v>
          </cell>
        </row>
        <row r="138">
          <cell r="B138" t="str">
            <v>Norway</v>
          </cell>
          <cell r="C138" t="str">
            <v>Nordics</v>
          </cell>
          <cell r="D138" t="str">
            <v>EEA</v>
          </cell>
        </row>
        <row r="139">
          <cell r="B139" t="str">
            <v>Poland</v>
          </cell>
          <cell r="C139" t="str">
            <v>Central Eastern Europe</v>
          </cell>
          <cell r="D139" t="str">
            <v>EEA</v>
          </cell>
        </row>
        <row r="140">
          <cell r="B140" t="str">
            <v>Portugal</v>
          </cell>
          <cell r="C140" t="str">
            <v>Southern Europe</v>
          </cell>
          <cell r="D140" t="str">
            <v>EEA</v>
          </cell>
        </row>
        <row r="141">
          <cell r="B141" t="str">
            <v>Romania</v>
          </cell>
          <cell r="C141" t="str">
            <v>South Eastern</v>
          </cell>
          <cell r="D141" t="str">
            <v>EEA</v>
          </cell>
        </row>
        <row r="142">
          <cell r="B142" t="str">
            <v>Slovakia</v>
          </cell>
          <cell r="C142" t="str">
            <v>Central Eastern Europe</v>
          </cell>
          <cell r="D142" t="str">
            <v>EEA</v>
          </cell>
        </row>
        <row r="143">
          <cell r="B143" t="str">
            <v>Slovenia</v>
          </cell>
          <cell r="C143" t="str">
            <v>South Eastern</v>
          </cell>
          <cell r="D143" t="str">
            <v>EEA</v>
          </cell>
        </row>
        <row r="144">
          <cell r="B144" t="str">
            <v>Spain</v>
          </cell>
          <cell r="C144" t="str">
            <v>Southern Europe</v>
          </cell>
          <cell r="D144" t="str">
            <v>EEA</v>
          </cell>
        </row>
        <row r="145">
          <cell r="B145" t="str">
            <v>Sweden</v>
          </cell>
          <cell r="C145" t="str">
            <v>Nordics</v>
          </cell>
          <cell r="D145" t="str">
            <v>EEA</v>
          </cell>
        </row>
        <row r="146">
          <cell r="B146" t="str">
            <v>Switzerland</v>
          </cell>
          <cell r="C146" t="str">
            <v>Central Europe</v>
          </cell>
          <cell r="D146" t="str">
            <v>Switzerland</v>
          </cell>
        </row>
        <row r="147">
          <cell r="B147" t="str">
            <v>Turkey</v>
          </cell>
          <cell r="C147" t="str">
            <v>South Eastern</v>
          </cell>
          <cell r="D147" t="str">
            <v>Turkey</v>
          </cell>
        </row>
        <row r="148">
          <cell r="B148" t="str">
            <v>UK</v>
          </cell>
          <cell r="C148" t="str">
            <v>UK + Eire</v>
          </cell>
          <cell r="D148" t="str">
            <v>UK</v>
          </cell>
        </row>
        <row r="149">
          <cell r="B149" t="str">
            <v>Vatican City State</v>
          </cell>
          <cell r="C149" t="str">
            <v>Southern Europe</v>
          </cell>
          <cell r="D149" t="str">
            <v>Microstate</v>
          </cell>
        </row>
        <row r="150">
          <cell r="B150" t="str">
            <v>VI VE</v>
          </cell>
          <cell r="C150" t="str">
            <v>Unallocated</v>
          </cell>
          <cell r="D150" t="e">
            <v>#N/A</v>
          </cell>
        </row>
        <row r="151">
          <cell r="B151" t="str">
            <v>VI Members</v>
          </cell>
          <cell r="C151" t="str">
            <v>Unallocated</v>
          </cell>
          <cell r="D151" t="e">
            <v>#N/A</v>
          </cell>
        </row>
        <row r="152">
          <cell r="B152" t="str">
            <v>Member (Not Applicable)</v>
          </cell>
          <cell r="C152" t="str">
            <v>Unallocated</v>
          </cell>
          <cell r="D152" t="e">
            <v>#N/A</v>
          </cell>
        </row>
        <row r="153">
          <cell r="B153" t="str">
            <v>VE Countries</v>
          </cell>
          <cell r="C153" t="str">
            <v>Unallocated</v>
          </cell>
          <cell r="D153" t="e">
            <v>#N/A</v>
          </cell>
        </row>
        <row r="154">
          <cell r="B154" t="str">
            <v>Default Member</v>
          </cell>
          <cell r="C154" t="str">
            <v>Unallocated</v>
          </cell>
          <cell r="D154" t="e">
            <v>#N/A</v>
          </cell>
        </row>
        <row r="155">
          <cell r="B155" t="str">
            <v>Liechtenstein</v>
          </cell>
          <cell r="C155" t="str">
            <v>Unallocated</v>
          </cell>
          <cell r="D155" t="str">
            <v>EEA</v>
          </cell>
        </row>
        <row r="156">
          <cell r="B156" t="str">
            <v>San Marino</v>
          </cell>
          <cell r="C156" t="str">
            <v>Unallocated</v>
          </cell>
          <cell r="D156" t="str">
            <v>Microstate</v>
          </cell>
        </row>
      </sheetData>
      <sheetData sheetId="20"/>
      <sheetData sheetId="21"/>
      <sheetData sheetId="22"/>
      <sheetData sheetId="23"/>
      <sheetData sheetId="24"/>
      <sheetData sheetId="25">
        <row r="12">
          <cell r="B12" t="str">
            <v>Country??</v>
          </cell>
          <cell r="C12" t="str">
            <v>Cluster</v>
          </cell>
        </row>
        <row r="13">
          <cell r="B13" t="str">
            <v>Andorra</v>
          </cell>
          <cell r="C13" t="str">
            <v>Southern Europe</v>
          </cell>
        </row>
        <row r="14">
          <cell r="B14" t="str">
            <v>Austria</v>
          </cell>
          <cell r="C14" t="str">
            <v>Central Europe</v>
          </cell>
        </row>
        <row r="15">
          <cell r="B15" t="str">
            <v>Belgium</v>
          </cell>
          <cell r="C15" t="str">
            <v>Central Europe</v>
          </cell>
        </row>
        <row r="16">
          <cell r="B16" t="str">
            <v>Bulgaria</v>
          </cell>
          <cell r="C16" t="str">
            <v>South Eastern</v>
          </cell>
        </row>
        <row r="17">
          <cell r="B17" t="str">
            <v>Cyprus</v>
          </cell>
          <cell r="C17" t="str">
            <v>South Eastern</v>
          </cell>
        </row>
        <row r="18">
          <cell r="B18" t="str">
            <v>Croatia</v>
          </cell>
          <cell r="C18" t="str">
            <v>South Eastern</v>
          </cell>
        </row>
        <row r="19">
          <cell r="B19" t="str">
            <v>Czech Republic</v>
          </cell>
          <cell r="C19" t="str">
            <v>Central Eastern Europe</v>
          </cell>
        </row>
        <row r="20">
          <cell r="B20" t="str">
            <v>Denmark</v>
          </cell>
          <cell r="C20" t="str">
            <v>Nordics</v>
          </cell>
        </row>
        <row r="21">
          <cell r="B21" t="str">
            <v>Estonia</v>
          </cell>
          <cell r="C21" t="str">
            <v>Nordics</v>
          </cell>
        </row>
        <row r="22">
          <cell r="B22" t="str">
            <v>Finland</v>
          </cell>
          <cell r="C22" t="str">
            <v>Nordics</v>
          </cell>
        </row>
        <row r="23">
          <cell r="B23" t="str">
            <v>France</v>
          </cell>
          <cell r="C23" t="str">
            <v>France</v>
          </cell>
        </row>
        <row r="24">
          <cell r="B24" t="str">
            <v>Germany</v>
          </cell>
          <cell r="C24" t="str">
            <v>Central Europe</v>
          </cell>
        </row>
        <row r="25">
          <cell r="B25" t="str">
            <v>Gibraltar</v>
          </cell>
          <cell r="C25" t="str">
            <v>UK + Eire</v>
          </cell>
        </row>
        <row r="26">
          <cell r="B26" t="str">
            <v>Greece</v>
          </cell>
          <cell r="C26" t="str">
            <v>South Eastern</v>
          </cell>
        </row>
        <row r="27">
          <cell r="B27" t="str">
            <v>Hungary</v>
          </cell>
          <cell r="C27" t="str">
            <v>Central Eastern Europe</v>
          </cell>
        </row>
        <row r="28">
          <cell r="B28" t="str">
            <v>Iceland</v>
          </cell>
          <cell r="C28" t="str">
            <v>Nordics</v>
          </cell>
        </row>
        <row r="29">
          <cell r="B29" t="str">
            <v>Ireland</v>
          </cell>
          <cell r="C29" t="str">
            <v>UK + Eire</v>
          </cell>
        </row>
        <row r="30">
          <cell r="B30" t="str">
            <v>Israel</v>
          </cell>
          <cell r="C30" t="str">
            <v>South Eastern</v>
          </cell>
        </row>
        <row r="31">
          <cell r="B31" t="str">
            <v>Italy</v>
          </cell>
          <cell r="C31" t="str">
            <v>Southern Europe</v>
          </cell>
        </row>
        <row r="32">
          <cell r="B32" t="str">
            <v>Latvia</v>
          </cell>
          <cell r="C32" t="str">
            <v>Nordics</v>
          </cell>
        </row>
        <row r="33">
          <cell r="B33" t="str">
            <v>Lithuania</v>
          </cell>
          <cell r="C33" t="str">
            <v>Nordics</v>
          </cell>
        </row>
        <row r="34">
          <cell r="B34" t="str">
            <v>Luxembourg</v>
          </cell>
          <cell r="C34" t="str">
            <v>Central Europe</v>
          </cell>
        </row>
        <row r="35">
          <cell r="B35" t="str">
            <v>Malta</v>
          </cell>
          <cell r="C35" t="str">
            <v>South Eastern</v>
          </cell>
        </row>
        <row r="36">
          <cell r="B36" t="str">
            <v>Netherlands</v>
          </cell>
          <cell r="C36" t="str">
            <v>Central Europe</v>
          </cell>
        </row>
        <row r="37">
          <cell r="B37" t="str">
            <v>Norway</v>
          </cell>
          <cell r="C37" t="str">
            <v>Nordics</v>
          </cell>
        </row>
        <row r="38">
          <cell r="B38" t="str">
            <v>Poland</v>
          </cell>
          <cell r="C38" t="str">
            <v>Central Eastern Europe</v>
          </cell>
        </row>
        <row r="39">
          <cell r="B39" t="str">
            <v>Portugal</v>
          </cell>
          <cell r="C39" t="str">
            <v>Southern Europe</v>
          </cell>
        </row>
        <row r="40">
          <cell r="B40" t="str">
            <v>Romania</v>
          </cell>
          <cell r="C40" t="str">
            <v>South Eastern</v>
          </cell>
        </row>
        <row r="41">
          <cell r="B41" t="str">
            <v>Slovakia</v>
          </cell>
          <cell r="C41" t="str">
            <v>Central Eastern Europe</v>
          </cell>
        </row>
        <row r="42">
          <cell r="B42" t="str">
            <v>Slovenia</v>
          </cell>
          <cell r="C42" t="str">
            <v>South Eastern</v>
          </cell>
        </row>
        <row r="43">
          <cell r="B43" t="str">
            <v>Spain</v>
          </cell>
          <cell r="C43" t="str">
            <v>Southern Europe</v>
          </cell>
        </row>
        <row r="44">
          <cell r="B44" t="str">
            <v>Sweden</v>
          </cell>
          <cell r="C44" t="str">
            <v>Nordics</v>
          </cell>
        </row>
        <row r="45">
          <cell r="B45" t="str">
            <v>Switzerland</v>
          </cell>
          <cell r="C45" t="str">
            <v>Central Europe</v>
          </cell>
        </row>
        <row r="46">
          <cell r="B46" t="str">
            <v>Turkey</v>
          </cell>
          <cell r="C46" t="str">
            <v>South Eastern</v>
          </cell>
        </row>
        <row r="47">
          <cell r="B47" t="str">
            <v>UK</v>
          </cell>
          <cell r="C47" t="str">
            <v>UK + Eire</v>
          </cell>
        </row>
        <row r="48">
          <cell r="B48" t="str">
            <v>Vatican City State</v>
          </cell>
          <cell r="C48" t="str">
            <v>Southern Europe</v>
          </cell>
        </row>
        <row r="49">
          <cell r="B49" t="str">
            <v>VI VE</v>
          </cell>
          <cell r="C49" t="str">
            <v>Unallocated</v>
          </cell>
        </row>
        <row r="50">
          <cell r="B50" t="str">
            <v>VI Members</v>
          </cell>
          <cell r="C50" t="str">
            <v>Unallocated</v>
          </cell>
        </row>
        <row r="51">
          <cell r="B51" t="str">
            <v>Member (Not Applicable)</v>
          </cell>
          <cell r="C51" t="str">
            <v>Unallocated</v>
          </cell>
        </row>
        <row r="52">
          <cell r="B52" t="str">
            <v>VE Countries</v>
          </cell>
          <cell r="C52" t="str">
            <v>Unallocated</v>
          </cell>
        </row>
        <row r="53">
          <cell r="B53" t="str">
            <v>Default Member</v>
          </cell>
          <cell r="C53" t="str">
            <v>Unallocated</v>
          </cell>
        </row>
        <row r="54">
          <cell r="B54" t="str">
            <v>Liechtenstein</v>
          </cell>
          <cell r="C54" t="str">
            <v>Unallocated</v>
          </cell>
        </row>
        <row r="55">
          <cell r="B55" t="str">
            <v>San Marino</v>
          </cell>
          <cell r="C55" t="str">
            <v>Unallocated</v>
          </cell>
        </row>
      </sheetData>
      <sheetData sheetId="2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elcome"/>
      <sheetName val="CoverSheet"/>
      <sheetName val="ChangeControl"/>
      <sheetName val="1a) Deal Overview"/>
      <sheetName val="1b) Forecast Inputs "/>
      <sheetName val="1c) Manual adj."/>
      <sheetName val="1d) IntraSplit"/>
      <sheetName val="1e) Inter Acq. Fees"/>
      <sheetName val="2a) EB GOA"/>
      <sheetName val="2b) EB Hyp. Group"/>
      <sheetName val="2c) EB Hyp. Member"/>
      <sheetName val="VAS &amp; Other"/>
      <sheetName val="MSD inputs"/>
      <sheetName val="3a) Modeller inputs"/>
      <sheetName val="4a) Cons Dr €"/>
      <sheetName val="4b) Cons Pre €"/>
      <sheetName val="4c) Cons Cr €"/>
      <sheetName val="4d) Cons Def €"/>
      <sheetName val="4e) Comm Dr €"/>
      <sheetName val="4f) Comm Pre €"/>
      <sheetName val="4g) Comm Cr €"/>
      <sheetName val="4h) Comm Def €"/>
      <sheetName val="4i) VPAY €"/>
      <sheetName val="4j) Product IDX €"/>
      <sheetName val="4k) Product TOTAL €"/>
      <sheetName val="4L) Summary TOTAL €"/>
      <sheetName val="4m) FY Summary TOTAL €"/>
      <sheetName val="5a) Approval Matrix"/>
      <sheetName val="€ EDR&gt;&gt;"/>
      <sheetName val="CoverPage"/>
      <sheetName val="€ ReadAcross"/>
      <sheetName val="€ Offer Highlights"/>
      <sheetName val="€ Amort. P&amp;L Most Likely"/>
      <sheetName val="€ Offer Summary"/>
      <sheetName val="Net Comp Detail"/>
      <sheetName val="€ AANR Quadrant"/>
      <sheetName val="Net Comp Summary"/>
      <sheetName val="MI Database Template"/>
      <sheetName val="Contract Schedules &gt;"/>
      <sheetName val="Scheme - Section 1"/>
      <sheetName val="Scheme- Section 2"/>
      <sheetName val="Inter - Section 1"/>
      <sheetName val="Inter - Section 2"/>
      <sheetName val="Total CEV Comm-Section 1"/>
      <sheetName val="Total CEV Comm- Section 2"/>
      <sheetName val="Processing "/>
      <sheetName val="GPIC € to $&gt;&gt;"/>
      <sheetName val="P&amp;L - updated"/>
      <sheetName val="Additional VAS"/>
      <sheetName val="Highlights &amp; Metrics"/>
      <sheetName val="Opp Overview"/>
      <sheetName val="NR overview"/>
      <sheetName val="GPIC Offer Highlights "/>
      <sheetName val="GPIC Offer Summary"/>
      <sheetName val="GPIC Amort. P&amp;L Most Likely"/>
      <sheetName val="GPIC ReadAcross"/>
      <sheetName val="GPIC AANR Quadrant"/>
      <sheetName val="GPIC VIK "/>
      <sheetName val="GPIC ETR"/>
      <sheetName val="Global Europe"/>
      <sheetName val="GDT P&amp;L Submission"/>
      <sheetName val="Other Revenue"/>
      <sheetName val="Enhanced Revenue"/>
      <sheetName val="LC CIA &gt;&gt;"/>
      <sheetName val="LC Summary TOTAL "/>
      <sheetName val="LC FY Summary TOTAL "/>
      <sheetName val="LC Amort. P&amp;L Most Likely "/>
      <sheetName val="LC Offer Highlights "/>
      <sheetName val="LC Offer Summary"/>
      <sheetName val="LC ReadAcross"/>
      <sheetName val="LC Cons Debit Read Only"/>
      <sheetName val="LC Cons Prep Read Only "/>
      <sheetName val="LC Cons Credit Read Only "/>
      <sheetName val="LC Cons Def Read Only"/>
      <sheetName val="LC Com Deb Read Only"/>
      <sheetName val="LC Com Cre Read Only"/>
      <sheetName val="LC Com Prep Read Only"/>
      <sheetName val="LC Com def Read Only"/>
      <sheetName val="LC VPAY Read Only"/>
      <sheetName val="LC Product IDX Read Only"/>
      <sheetName val="LC Product total Read Only"/>
      <sheetName val="LC AANR Quadrant "/>
      <sheetName val="Fee drivers&gt;&gt; "/>
      <sheetName val="Acquirer FEE Discount Sheet"/>
      <sheetName val="Ref1.Issuer Fee Tables &amp; Calcs"/>
      <sheetName val="Ref2.Europe Acquirer Fees"/>
      <sheetName val="Ref3.IMD +NLCS fee Rates "/>
      <sheetName val="ref4.Int'l Acquiring Fees Data"/>
      <sheetName val="Intra Merchant volumes + calcs"/>
      <sheetName val="IIAB_SS"/>
      <sheetName val="Marker"/>
      <sheetName val="Summary"/>
      <sheetName val="Instructions"/>
      <sheetName val="Step 1--&gt;"/>
      <sheetName val="1a.Deal Overview"/>
      <sheetName val="Step 2--&gt;"/>
      <sheetName val="Consumer Debit"/>
      <sheetName val="Consumer Prepaid"/>
      <sheetName val="Consumer Credit"/>
      <sheetName val="Consumer Deferred Debit"/>
      <sheetName val="Commercial Debit"/>
      <sheetName val="Commercial Prepaid"/>
      <sheetName val="Commercial Credit"/>
      <sheetName val="Commercial Deferred Debit"/>
      <sheetName val="VPAY"/>
      <sheetName val="CheckSummaryS1&amp;S2"/>
      <sheetName val="Step 3 --&gt;"/>
      <sheetName val="Current Deal"/>
      <sheetName val="Deal Structure"/>
      <sheetName val="Deal Str (Performance table)"/>
      <sheetName val="Deal Str (Migration table)"/>
      <sheetName val="Deal Str (Memb waiver table)"/>
      <sheetName val="Deal Str (VTO)"/>
      <sheetName val="Mapping &amp; Conditions"/>
      <sheetName val="CheckSummaryS3"/>
      <sheetName val="Reports-&gt; "/>
      <sheetName val="IIAB Assessment &amp; Cover Sheet"/>
      <sheetName val="IIAB Cash P&amp;L_EUR"/>
      <sheetName val="Graphs&amp;Tables"/>
      <sheetName val="IIAB Cash P&amp;L_LC"/>
      <sheetName val="Sign off--&gt;"/>
      <sheetName val="Reference --&gt;"/>
      <sheetName val="Stats"/>
      <sheetName val="Processing EB"/>
      <sheetName val="Glossary&amp;Metric def"/>
      <sheetName val="1b.Forecast Inputs"/>
      <sheetName val="ISMaker User Guide"/>
      <sheetName val="GBI Mismatch Flag"/>
      <sheetName val="IIAB_table_for_reference"/>
      <sheetName val="Contract Sch--&gt;"/>
      <sheetName val="Product IDX"/>
      <sheetName val="Other&gt;&gt;"/>
      <sheetName val="Market Legal Tiering"/>
      <sheetName val="DEF1Approval Matrix"/>
      <sheetName val="GARP"/>
      <sheetName val="RevenueDriverAnalysis€"/>
      <sheetName val="VTO PROCESS CSTARIFF"/>
      <sheetName val="VTO PROCESS AUTHTARIFF"/>
      <sheetName val="Country Codes"/>
      <sheetName val="PAN EU and Strategic Clients"/>
      <sheetName val="PV Split by Market"/>
      <sheetName val="Country average calc"/>
      <sheetName val="CnP Tranx % by Market"/>
      <sheetName val="Contract_T&amp;C"/>
      <sheetName val="Process"/>
      <sheetName val="Key definitions&gt;&gt;"/>
      <sheetName val="DEFINITION"/>
      <sheetName val="Pricing Assumptions"/>
      <sheetName val="Data pulls&gt;&gt;"/>
      <sheetName val="Interbasedata"/>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refreshError="1"/>
      <sheetData sheetId="130" refreshError="1"/>
      <sheetData sheetId="131" refreshError="1"/>
      <sheetData sheetId="132" refreshError="1"/>
      <sheetData sheetId="133" refreshError="1"/>
      <sheetData sheetId="134" refreshError="1"/>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visa.highspot.com/items/64b7ed7e2b4f9c04ea94b456" TargetMode="External"/><Relationship Id="rId2" Type="http://schemas.openxmlformats.org/officeDocument/2006/relationships/hyperlink" Target="https://visa.highspot.com/items/64b7ed48d004140237384d7a" TargetMode="External"/><Relationship Id="rId1" Type="http://schemas.openxmlformats.org/officeDocument/2006/relationships/hyperlink" Target="../../../../../../../../../:f:/r/sites/VDWPricingTemplateGroup/Shared%20Documents/AE%20Intake%20Form%20(VDC)?csf=1&amp;web=1&amp;e=shDlBz"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C62C8-3F3C-4B4E-AA01-52CC392B26D6}">
  <sheetPr codeName="Sheet2"/>
  <dimension ref="A1:O30"/>
  <sheetViews>
    <sheetView showGridLines="0" tabSelected="1" zoomScale="75" zoomScaleNormal="75" workbookViewId="0">
      <selection activeCell="S53" sqref="S53"/>
    </sheetView>
  </sheetViews>
  <sheetFormatPr defaultRowHeight="14.4" outlineLevelRow="1" x14ac:dyDescent="0.3"/>
  <cols>
    <col min="1" max="1" width="3.88671875" customWidth="1"/>
    <col min="2" max="9" width="18" customWidth="1"/>
    <col min="10" max="10" width="2.5546875" customWidth="1"/>
    <col min="11" max="12" width="15.88671875" customWidth="1"/>
    <col min="13" max="13" width="0.88671875" customWidth="1"/>
    <col min="14" max="14" width="16.5546875" customWidth="1"/>
  </cols>
  <sheetData>
    <row r="1" spans="1:15" ht="15" thickBot="1" x14ac:dyDescent="0.35">
      <c r="A1" t="s">
        <v>0</v>
      </c>
      <c r="C1" t="str">
        <f>'[1]Change Control'!C11</f>
        <v>vJun24 eff 01/07/2024</v>
      </c>
    </row>
    <row r="2" spans="1:15" ht="32.4" customHeight="1" thickBot="1" x14ac:dyDescent="0.4">
      <c r="B2" s="1" t="s">
        <v>1</v>
      </c>
      <c r="C2" s="2"/>
      <c r="D2" s="3" t="s">
        <v>2</v>
      </c>
      <c r="E2" s="4" t="s">
        <v>3</v>
      </c>
      <c r="F2" s="5" t="s">
        <v>4</v>
      </c>
      <c r="G2" s="4" t="s">
        <v>5</v>
      </c>
      <c r="H2" s="5" t="s">
        <v>6</v>
      </c>
      <c r="I2" s="6" t="s">
        <v>7</v>
      </c>
      <c r="K2" s="7" t="s">
        <v>8</v>
      </c>
      <c r="L2" s="8"/>
      <c r="M2" s="9"/>
      <c r="N2" s="7" t="s">
        <v>9</v>
      </c>
      <c r="O2" s="10"/>
    </row>
    <row r="3" spans="1:15" ht="32.4" customHeight="1" thickBot="1" x14ac:dyDescent="0.4">
      <c r="B3" s="11" t="s">
        <v>10</v>
      </c>
      <c r="C3" s="4" t="s">
        <v>11</v>
      </c>
      <c r="D3" s="12" t="s">
        <v>12</v>
      </c>
      <c r="E3" s="4" t="s">
        <v>13</v>
      </c>
      <c r="F3" s="13" t="s">
        <v>14</v>
      </c>
      <c r="G3" s="13" t="str">
        <f>IFERROR(VLOOKUP($E$3,'[1]Deals Database'!$B$12:$C$60,2,0),"")</f>
        <v>UK + Eire</v>
      </c>
      <c r="H3" s="14" t="s">
        <v>15</v>
      </c>
      <c r="I3" s="4" t="s">
        <v>16</v>
      </c>
      <c r="K3" s="15"/>
      <c r="L3" s="16"/>
      <c r="M3" s="9"/>
      <c r="N3" s="17"/>
      <c r="O3" s="18"/>
    </row>
    <row r="4" spans="1:15" s="24" customFormat="1" ht="15" thickBot="1" x14ac:dyDescent="0.35">
      <c r="A4" s="19"/>
      <c r="B4" s="20" t="s">
        <v>17</v>
      </c>
      <c r="C4" s="21"/>
      <c r="D4" s="22"/>
      <c r="E4" s="22"/>
      <c r="F4" s="22"/>
      <c r="G4" s="22"/>
      <c r="H4" s="22"/>
      <c r="I4" s="23"/>
    </row>
    <row r="5" spans="1:15" s="24" customFormat="1" ht="57.75" customHeight="1" thickBot="1" x14ac:dyDescent="0.35">
      <c r="A5" s="19"/>
      <c r="B5" s="25" t="s">
        <v>18</v>
      </c>
      <c r="C5" s="26"/>
      <c r="D5" s="26"/>
      <c r="E5" s="26"/>
      <c r="F5" s="26"/>
      <c r="G5" s="26"/>
      <c r="H5" s="26"/>
      <c r="I5" s="27"/>
      <c r="K5" s="28" t="s">
        <v>19</v>
      </c>
      <c r="L5" s="29" t="str">
        <f>IF(COUNTIF($L$7:$L$15,"No")&gt;0,"No","Yes")</f>
        <v>Yes</v>
      </c>
      <c r="N5" s="30"/>
      <c r="O5" s="31"/>
    </row>
    <row r="6" spans="1:15" s="24" customFormat="1" ht="14.4" customHeight="1" thickBot="1" x14ac:dyDescent="0.35">
      <c r="A6" s="19"/>
      <c r="B6" s="32" t="s">
        <v>20</v>
      </c>
      <c r="C6" s="33"/>
      <c r="D6" s="33"/>
      <c r="E6" s="33"/>
      <c r="F6" s="33"/>
      <c r="G6" s="33"/>
      <c r="H6" s="33"/>
      <c r="I6" s="34"/>
      <c r="N6" s="35"/>
      <c r="O6" s="35"/>
    </row>
    <row r="7" spans="1:15" s="24" customFormat="1" ht="57.75" customHeight="1" thickBot="1" x14ac:dyDescent="0.35">
      <c r="A7" s="19"/>
      <c r="B7" s="36" t="s">
        <v>21</v>
      </c>
      <c r="C7" s="37"/>
      <c r="D7" s="37"/>
      <c r="E7" s="37"/>
      <c r="F7" s="37"/>
      <c r="G7" s="37"/>
      <c r="H7" s="37"/>
      <c r="I7" s="38"/>
      <c r="K7" s="28" t="s">
        <v>22</v>
      </c>
      <c r="L7" s="29" t="str">
        <f>IF(-'P&amp;L'!$G$34*Inputs!$O$1&lt;=250000,"Yes","No")</f>
        <v>Yes</v>
      </c>
      <c r="N7" s="30"/>
      <c r="O7" s="31"/>
    </row>
    <row r="8" spans="1:15" s="24" customFormat="1" ht="25.5" customHeight="1" thickBot="1" x14ac:dyDescent="0.35">
      <c r="A8" s="19"/>
      <c r="B8" s="32" t="s">
        <v>23</v>
      </c>
      <c r="C8" s="33">
        <v>0</v>
      </c>
      <c r="D8" s="33">
        <v>0</v>
      </c>
      <c r="E8" s="33">
        <v>0</v>
      </c>
      <c r="F8" s="33">
        <v>0</v>
      </c>
      <c r="G8" s="33">
        <v>0</v>
      </c>
      <c r="H8" s="33">
        <v>0</v>
      </c>
      <c r="I8" s="34">
        <v>0</v>
      </c>
      <c r="N8" s="35"/>
      <c r="O8" s="35"/>
    </row>
    <row r="9" spans="1:15" s="24" customFormat="1" ht="57.75" customHeight="1" thickBot="1" x14ac:dyDescent="0.35">
      <c r="A9" s="19"/>
      <c r="B9" s="25" t="s">
        <v>24</v>
      </c>
      <c r="C9" s="37"/>
      <c r="D9" s="37"/>
      <c r="E9" s="37"/>
      <c r="F9" s="37"/>
      <c r="G9" s="37"/>
      <c r="H9" s="37"/>
      <c r="I9" s="38"/>
      <c r="K9" s="28" t="s">
        <v>25</v>
      </c>
      <c r="L9" s="29" t="str">
        <f>IF(OR(SUM('P&amp;L'!G37:I37)&lt;=0,SUM('P&amp;L'!G74:I74)&lt;1),"Yes","No")</f>
        <v>Yes</v>
      </c>
      <c r="N9" s="30"/>
      <c r="O9" s="31"/>
    </row>
    <row r="10" spans="1:15" s="24" customFormat="1" ht="23.25" customHeight="1" thickBot="1" x14ac:dyDescent="0.35">
      <c r="A10" s="19"/>
      <c r="B10" s="32" t="s">
        <v>26</v>
      </c>
      <c r="C10" s="22">
        <v>0</v>
      </c>
      <c r="D10" s="22">
        <v>0</v>
      </c>
      <c r="E10" s="22">
        <v>0</v>
      </c>
      <c r="F10" s="22">
        <v>0</v>
      </c>
      <c r="G10" s="22">
        <v>0</v>
      </c>
      <c r="H10" s="22">
        <v>0</v>
      </c>
      <c r="I10" s="23">
        <v>0</v>
      </c>
      <c r="N10" s="35"/>
      <c r="O10" s="35"/>
    </row>
    <row r="11" spans="1:15" s="24" customFormat="1" ht="57.75" customHeight="1" thickBot="1" x14ac:dyDescent="0.35">
      <c r="A11" s="19"/>
      <c r="B11" s="25" t="s">
        <v>27</v>
      </c>
      <c r="C11" s="37"/>
      <c r="D11" s="37"/>
      <c r="E11" s="37"/>
      <c r="F11" s="37"/>
      <c r="G11" s="37"/>
      <c r="H11" s="37"/>
      <c r="I11" s="38"/>
      <c r="K11" s="28" t="s">
        <v>28</v>
      </c>
      <c r="L11" s="29" t="str">
        <f>IF(-'P&amp;L'!C29&lt;=35%,"Yes","No")</f>
        <v>Yes</v>
      </c>
      <c r="N11" s="30"/>
      <c r="O11" s="31"/>
    </row>
    <row r="12" spans="1:15" s="24" customFormat="1" ht="14.4" customHeight="1" thickBot="1" x14ac:dyDescent="0.35">
      <c r="A12" s="19"/>
      <c r="B12" s="32" t="s">
        <v>29</v>
      </c>
      <c r="C12" s="22"/>
      <c r="D12" s="22"/>
      <c r="E12" s="22"/>
      <c r="F12" s="22"/>
      <c r="G12" s="22"/>
      <c r="H12" s="22"/>
      <c r="I12" s="23"/>
      <c r="N12" s="35"/>
      <c r="O12" s="35"/>
    </row>
    <row r="13" spans="1:15" s="24" customFormat="1" ht="57.75" customHeight="1" thickBot="1" x14ac:dyDescent="0.35">
      <c r="A13" s="19"/>
      <c r="B13" s="36"/>
      <c r="C13" s="37"/>
      <c r="D13" s="37"/>
      <c r="E13" s="37"/>
      <c r="F13" s="37"/>
      <c r="G13" s="37"/>
      <c r="H13" s="37"/>
      <c r="I13" s="38"/>
      <c r="K13" s="28" t="s">
        <v>30</v>
      </c>
      <c r="L13" s="29" t="str">
        <f>IF(-('P&amp;L'!Q33-'P&amp;L'!Q38)&lt;10000000/Inputs!O1,"Yes","No")</f>
        <v>Yes</v>
      </c>
      <c r="N13" s="39" t="s">
        <v>31</v>
      </c>
      <c r="O13" s="40"/>
    </row>
    <row r="14" spans="1:15" s="24" customFormat="1" ht="24" customHeight="1" thickBot="1" x14ac:dyDescent="0.35">
      <c r="A14" s="19"/>
      <c r="B14" s="32" t="s">
        <v>32</v>
      </c>
      <c r="C14" s="33">
        <v>0</v>
      </c>
      <c r="D14" s="33">
        <v>0</v>
      </c>
      <c r="E14" s="33">
        <v>0</v>
      </c>
      <c r="F14" s="33">
        <v>0</v>
      </c>
      <c r="G14" s="33">
        <v>0</v>
      </c>
      <c r="H14" s="33">
        <v>0</v>
      </c>
      <c r="I14" s="34">
        <v>0</v>
      </c>
      <c r="N14" s="35"/>
      <c r="O14" s="35"/>
    </row>
    <row r="15" spans="1:15" s="24" customFormat="1" ht="57.75" customHeight="1" thickBot="1" x14ac:dyDescent="0.35">
      <c r="A15" s="19"/>
      <c r="B15" s="41"/>
      <c r="C15" s="42"/>
      <c r="D15" s="42"/>
      <c r="E15" s="42"/>
      <c r="F15" s="42"/>
      <c r="G15" s="42"/>
      <c r="H15" s="42"/>
      <c r="I15" s="43"/>
      <c r="K15" s="28" t="s">
        <v>33</v>
      </c>
      <c r="L15" s="29" t="str">
        <f>IF('P&amp;L'!Q34&gt;='P&amp;L'!Q33*0.25,"Yes","No")</f>
        <v>Yes</v>
      </c>
      <c r="N15" s="30"/>
      <c r="O15" s="31"/>
    </row>
    <row r="16" spans="1:15" ht="15" thickBot="1" x14ac:dyDescent="0.35"/>
    <row r="17" spans="2:8" ht="17.399999999999999" customHeight="1" thickBot="1" x14ac:dyDescent="0.35">
      <c r="B17" s="44" t="s">
        <v>34</v>
      </c>
      <c r="C17" s="45"/>
      <c r="D17" s="46"/>
      <c r="F17" s="47" t="s">
        <v>35</v>
      </c>
      <c r="G17" s="48"/>
      <c r="H17" s="49"/>
    </row>
    <row r="18" spans="2:8" ht="17.399999999999999" customHeight="1" x14ac:dyDescent="0.3">
      <c r="B18" s="50" t="s">
        <v>36</v>
      </c>
      <c r="C18" s="51"/>
      <c r="D18" s="52">
        <v>2</v>
      </c>
      <c r="E18" s="53" t="str">
        <f>IF(D18="","Mandatory","")</f>
        <v/>
      </c>
      <c r="F18" s="54" t="s">
        <v>37</v>
      </c>
      <c r="G18" s="55"/>
      <c r="H18" s="56"/>
    </row>
    <row r="19" spans="2:8" ht="17.399999999999999" customHeight="1" x14ac:dyDescent="0.3">
      <c r="B19" s="50" t="s">
        <v>38</v>
      </c>
      <c r="C19" s="51"/>
      <c r="D19" s="52" t="s">
        <v>39</v>
      </c>
      <c r="F19" s="57" t="s">
        <v>40</v>
      </c>
      <c r="G19" s="58"/>
      <c r="H19" s="59"/>
    </row>
    <row r="20" spans="2:8" ht="17.399999999999999" customHeight="1" x14ac:dyDescent="0.3">
      <c r="B20" s="50" t="s">
        <v>41</v>
      </c>
      <c r="C20" s="51"/>
      <c r="D20" s="52" t="s">
        <v>42</v>
      </c>
      <c r="F20" s="57" t="s">
        <v>43</v>
      </c>
      <c r="G20" s="58"/>
      <c r="H20" s="59"/>
    </row>
    <row r="21" spans="2:8" ht="17.399999999999999" customHeight="1" x14ac:dyDescent="0.3">
      <c r="B21" s="50" t="s">
        <v>44</v>
      </c>
      <c r="C21" s="51"/>
      <c r="D21" s="60">
        <v>45931</v>
      </c>
      <c r="E21" s="53" t="str">
        <f>IF(D21="","Mandatory","")</f>
        <v/>
      </c>
      <c r="F21" s="57" t="s">
        <v>45</v>
      </c>
      <c r="G21" s="58"/>
      <c r="H21" s="59"/>
    </row>
    <row r="22" spans="2:8" ht="17.399999999999999" customHeight="1" x14ac:dyDescent="0.3">
      <c r="B22" s="61" t="s">
        <v>46</v>
      </c>
      <c r="C22" s="62"/>
      <c r="D22" s="63">
        <f>IFERROR(EOMONTH(D21-1,'P&amp;L'!C15*12),"")</f>
        <v>46660</v>
      </c>
      <c r="F22" s="57" t="s">
        <v>47</v>
      </c>
      <c r="G22" s="58"/>
      <c r="H22" s="64" t="str">
        <f>I3</f>
        <v>FY25_421</v>
      </c>
    </row>
    <row r="23" spans="2:8" ht="17.399999999999999" customHeight="1" thickBot="1" x14ac:dyDescent="0.35">
      <c r="B23" s="65" t="s">
        <v>48</v>
      </c>
      <c r="C23" s="66"/>
      <c r="D23" s="67">
        <v>0</v>
      </c>
      <c r="F23" s="68" t="s">
        <v>49</v>
      </c>
      <c r="G23" s="69"/>
      <c r="H23" s="70"/>
    </row>
    <row r="24" spans="2:8" hidden="1" outlineLevel="1" x14ac:dyDescent="0.3">
      <c r="B24" s="71" t="s">
        <v>50</v>
      </c>
      <c r="C24" s="72"/>
      <c r="D24" s="73" t="str">
        <f>E2</f>
        <v>OPP-001060809</v>
      </c>
      <c r="F24" s="57"/>
      <c r="G24" s="58"/>
      <c r="H24" s="59"/>
    </row>
    <row r="25" spans="2:8" ht="15" hidden="1" outlineLevel="1" thickBot="1" x14ac:dyDescent="0.35">
      <c r="B25" s="74" t="s">
        <v>51</v>
      </c>
      <c r="C25" s="75"/>
      <c r="D25" s="76" t="str">
        <f>Intro!E3</f>
        <v>UK</v>
      </c>
      <c r="F25" s="57"/>
      <c r="G25" s="58"/>
      <c r="H25" s="59"/>
    </row>
    <row r="26" spans="2:8" collapsed="1" x14ac:dyDescent="0.3"/>
    <row r="28" spans="2:8" x14ac:dyDescent="0.3">
      <c r="B28" t="s">
        <v>52</v>
      </c>
      <c r="E28" s="77" t="s">
        <v>53</v>
      </c>
    </row>
    <row r="29" spans="2:8" x14ac:dyDescent="0.3">
      <c r="B29" t="s">
        <v>54</v>
      </c>
      <c r="E29" s="77" t="s">
        <v>55</v>
      </c>
    </row>
    <row r="30" spans="2:8" x14ac:dyDescent="0.3">
      <c r="B30" t="s">
        <v>56</v>
      </c>
      <c r="E30" s="77" t="s">
        <v>57</v>
      </c>
    </row>
  </sheetData>
  <sheetProtection algorithmName="SHA-512" hashValue="/xPK8cLV4MTEeEVrBBGM3YaKTxaHn0Vy518h+KJef3Fx5zwLyZpSFF7tqK6R3LQEmjKdg+CB3bJhcVF288UV7A==" saltValue="NZr9QLxa5Sp9Ny0knR733g==" spinCount="100000" sheet="1" objects="1" scenarios="1"/>
  <mergeCells count="21">
    <mergeCell ref="B14:I14"/>
    <mergeCell ref="B15:I15"/>
    <mergeCell ref="N15:O15"/>
    <mergeCell ref="B10:I10"/>
    <mergeCell ref="B11:I11"/>
    <mergeCell ref="N11:O11"/>
    <mergeCell ref="B12:I12"/>
    <mergeCell ref="B13:I13"/>
    <mergeCell ref="N13:O13"/>
    <mergeCell ref="B6:I6"/>
    <mergeCell ref="B7:I7"/>
    <mergeCell ref="N7:O7"/>
    <mergeCell ref="B8:I8"/>
    <mergeCell ref="B9:I9"/>
    <mergeCell ref="N9:O9"/>
    <mergeCell ref="B2:C2"/>
    <mergeCell ref="K2:L3"/>
    <mergeCell ref="N2:O3"/>
    <mergeCell ref="B4:I4"/>
    <mergeCell ref="B5:I5"/>
    <mergeCell ref="N5:O5"/>
  </mergeCells>
  <conditionalFormatting sqref="B3">
    <cfRule type="expression" dxfId="36" priority="8">
      <formula>C3=""</formula>
    </cfRule>
  </conditionalFormatting>
  <conditionalFormatting sqref="D2">
    <cfRule type="expression" dxfId="35" priority="6">
      <formula>$E$2=""</formula>
    </cfRule>
  </conditionalFormatting>
  <conditionalFormatting sqref="D3">
    <cfRule type="expression" dxfId="34" priority="7">
      <formula>E3=""</formula>
    </cfRule>
  </conditionalFormatting>
  <conditionalFormatting sqref="H3">
    <cfRule type="expression" dxfId="33" priority="5">
      <formula>$I$3=""</formula>
    </cfRule>
  </conditionalFormatting>
  <conditionalFormatting sqref="L5">
    <cfRule type="expression" dxfId="32" priority="17">
      <formula>L5="No"</formula>
    </cfRule>
    <cfRule type="expression" dxfId="31" priority="18">
      <formula>L5="Yes"</formula>
    </cfRule>
  </conditionalFormatting>
  <conditionalFormatting sqref="L7">
    <cfRule type="expression" dxfId="30" priority="15">
      <formula>L7="No"</formula>
    </cfRule>
    <cfRule type="expression" dxfId="29" priority="16">
      <formula>L7="Yes"</formula>
    </cfRule>
  </conditionalFormatting>
  <conditionalFormatting sqref="L9">
    <cfRule type="expression" dxfId="28" priority="13">
      <formula>L9="No"</formula>
    </cfRule>
    <cfRule type="expression" dxfId="27" priority="14">
      <formula>L9="Yes"</formula>
    </cfRule>
  </conditionalFormatting>
  <conditionalFormatting sqref="L11">
    <cfRule type="expression" dxfId="26" priority="11">
      <formula>L11="No"</formula>
    </cfRule>
    <cfRule type="expression" dxfId="25" priority="12">
      <formula>L11="Yes"</formula>
    </cfRule>
  </conditionalFormatting>
  <conditionalFormatting sqref="L13">
    <cfRule type="expression" dxfId="24" priority="9">
      <formula>L13="No"</formula>
    </cfRule>
    <cfRule type="expression" dxfId="23" priority="10">
      <formula>L13="Yes"</formula>
    </cfRule>
  </conditionalFormatting>
  <conditionalFormatting sqref="L15">
    <cfRule type="expression" dxfId="22" priority="3">
      <formula>L15="No"</formula>
    </cfRule>
    <cfRule type="expression" dxfId="21" priority="4">
      <formula>L15="Yes"</formula>
    </cfRule>
  </conditionalFormatting>
  <conditionalFormatting sqref="F2">
    <cfRule type="expression" dxfId="20" priority="2">
      <formula>$G$2=""</formula>
    </cfRule>
  </conditionalFormatting>
  <conditionalFormatting sqref="H2:I2">
    <cfRule type="expression" dxfId="19" priority="1">
      <formula>$I$2=""</formula>
    </cfRule>
  </conditionalFormatting>
  <dataValidations count="4">
    <dataValidation type="list" allowBlank="1" showInputMessage="1" showErrorMessage="1" prompt="Select Deal Term (Years)" sqref="D18" xr:uid="{63C880C0-AC37-45C5-91C5-558294D1E2E3}">
      <formula1>"1,2,3,4,5,6,7,8,9,10"</formula1>
    </dataValidation>
    <dataValidation type="list" allowBlank="1" showInputMessage="1" showErrorMessage="1" sqref="D19" xr:uid="{45208F4C-0263-4BBA-9FF9-1DBBF021FEAC}">
      <formula1>"Yes,No"</formula1>
    </dataValidation>
    <dataValidation type="list" allowBlank="1" showInputMessage="1" showErrorMessage="1" sqref="D23" xr:uid="{27EA1EED-9226-4547-90CD-94659E9E0936}">
      <formula1>"0,1,2,3,4,5,6,7,8,9,10"</formula1>
    </dataValidation>
    <dataValidation type="list" allowBlank="1" showInputMessage="1" showErrorMessage="1" prompt="Select Scenario name (MLS for default)" sqref="I2" xr:uid="{31909A53-3CD4-4C35-835A-FE158892813D}">
      <formula1>"Base,Stretch,MLS,ContractModel,Other"</formula1>
    </dataValidation>
  </dataValidations>
  <hyperlinks>
    <hyperlink ref="E28" r:id="rId1" xr:uid="{B057EF3D-97FB-4B64-AB5E-FAA3AC51FECC}"/>
    <hyperlink ref="E29" r:id="rId2" tooltip="https://visa.highspot.com/items/64b7ed48d004140237384d7a" xr:uid="{B3DED97E-BDDD-4829-A5E3-6500F3CEE793}"/>
    <hyperlink ref="E30" r:id="rId3" tooltip="https://visa.highspot.com/items/64b7ed7e2b4f9c04ea94b456" xr:uid="{AEC3D396-9F3E-477F-84E1-058F554611FD}"/>
  </hyperlinks>
  <pageMargins left="0.70866141732283472" right="0.70866141732283472" top="0.74803149606299213" bottom="0.74803149606299213" header="0.31496062992125984" footer="0.31496062992125984"/>
  <pageSetup scale="59" orientation="landscape" r:id="rId4"/>
  <extLst>
    <ext xmlns:x14="http://schemas.microsoft.com/office/spreadsheetml/2009/9/main" uri="{CCE6A557-97BC-4b89-ADB6-D9C93CAAB3DF}">
      <x14:dataValidations xmlns:xm="http://schemas.microsoft.com/office/excel/2006/main" count="1">
        <x14:dataValidation type="list" allowBlank="1" showInputMessage="1" showErrorMessage="1" xr:uid="{093497FD-76D3-416D-938D-0B114D72FF19}">
          <x14:formula1>
            <xm:f>Inputs!$E$78:$E$143</xm:f>
          </x14:formula1>
          <xm:sqref>D21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5B9B4-1C69-4E8E-918A-73761463C59F}">
  <sheetPr codeName="Sheet7">
    <pageSetUpPr fitToPage="1"/>
  </sheetPr>
  <dimension ref="B1:U119"/>
  <sheetViews>
    <sheetView showGridLines="0" topLeftCell="A14" zoomScale="75" zoomScaleNormal="75" zoomScaleSheetLayoutView="55" workbookViewId="0">
      <selection activeCell="S53" sqref="S53"/>
    </sheetView>
  </sheetViews>
  <sheetFormatPr defaultColWidth="8.88671875" defaultRowHeight="14.4" outlineLevelRow="1" outlineLevelCol="1" x14ac:dyDescent="0.3"/>
  <cols>
    <col min="1" max="1" width="4.109375" style="78" customWidth="1"/>
    <col min="2" max="2" width="38.88671875" style="78" hidden="1" customWidth="1" outlineLevel="1"/>
    <col min="3" max="3" width="29" style="79" hidden="1" customWidth="1" outlineLevel="1"/>
    <col min="4" max="4" width="4" style="78" hidden="1" customWidth="1" outlineLevel="1"/>
    <col min="5" max="5" width="14.5546875" style="78" customWidth="1" collapsed="1"/>
    <col min="6" max="6" width="39.5546875" style="78" customWidth="1"/>
    <col min="7" max="16" width="16.5546875" style="78" customWidth="1"/>
    <col min="17" max="17" width="17.5546875" style="78" customWidth="1"/>
    <col min="18" max="18" width="15.6640625" style="78" customWidth="1"/>
    <col min="19" max="20" width="15.5546875" style="78" customWidth="1"/>
    <col min="21" max="21" width="28.109375" style="78" customWidth="1"/>
    <col min="22" max="22" width="1.5546875" style="78" customWidth="1"/>
    <col min="23" max="16384" width="8.88671875" style="78"/>
  </cols>
  <sheetData>
    <row r="1" spans="2:21" ht="9" customHeight="1" thickBot="1" x14ac:dyDescent="0.35"/>
    <row r="2" spans="2:21" ht="49.95" customHeight="1" thickBot="1" x14ac:dyDescent="0.35">
      <c r="F2" s="80" t="s">
        <v>58</v>
      </c>
      <c r="G2" s="81">
        <v>0</v>
      </c>
      <c r="H2" s="82" t="s">
        <v>59</v>
      </c>
      <c r="I2" s="83"/>
      <c r="J2" s="83" t="s">
        <v>60</v>
      </c>
      <c r="K2" s="83"/>
      <c r="L2" s="83" t="s">
        <v>61</v>
      </c>
      <c r="M2" s="83"/>
      <c r="N2" s="84" t="s">
        <v>62</v>
      </c>
      <c r="O2" s="85">
        <f>(Q40+Q46)/Intro!D18</f>
        <v>462076.99999999994</v>
      </c>
      <c r="P2" s="86">
        <f>O2*Inputs!O1</f>
        <v>514522.73949999991</v>
      </c>
      <c r="Q2" s="87" t="s">
        <v>63</v>
      </c>
      <c r="R2" s="88">
        <f>SUM(Q19:Q25,Q33,Q46)/Intro!D18</f>
        <v>346884.99999999994</v>
      </c>
      <c r="S2" s="89">
        <f>R2*Inputs!O1</f>
        <v>386256.44749999989</v>
      </c>
    </row>
    <row r="3" spans="2:21" ht="19.95" customHeight="1" x14ac:dyDescent="0.3">
      <c r="E3" s="90"/>
      <c r="F3" s="91" t="s">
        <v>64</v>
      </c>
      <c r="G3" s="92">
        <f>IFERROR(1-G4,"")</f>
        <v>0</v>
      </c>
      <c r="H3" s="92">
        <f t="shared" ref="H3:P3" si="0">IFERROR(1-H4,"")</f>
        <v>0</v>
      </c>
      <c r="I3" s="92" t="str">
        <f t="shared" si="0"/>
        <v/>
      </c>
      <c r="J3" s="92" t="str">
        <f t="shared" si="0"/>
        <v/>
      </c>
      <c r="K3" s="92" t="str">
        <f t="shared" si="0"/>
        <v/>
      </c>
      <c r="L3" s="92" t="str">
        <f t="shared" si="0"/>
        <v/>
      </c>
      <c r="M3" s="92" t="str">
        <f t="shared" si="0"/>
        <v/>
      </c>
      <c r="N3" s="92" t="str">
        <f t="shared" si="0"/>
        <v/>
      </c>
      <c r="O3" s="92" t="str">
        <f t="shared" si="0"/>
        <v/>
      </c>
      <c r="P3" s="92" t="str">
        <f t="shared" si="0"/>
        <v/>
      </c>
      <c r="Q3" s="92"/>
    </row>
    <row r="4" spans="2:21" ht="19.95" customHeight="1" x14ac:dyDescent="0.3">
      <c r="C4" s="93" t="str">
        <f>IFERROR(IF(AND(Intro!D22&lt;&gt;"", Intro!D21&lt;&gt;"", C15&lt;&gt;""), IF(ABS(DATEDIF(Intro!D21,Intro!D22,"D") - C15*365.25) &gt; 5, "DATE ERROR",""),""),"Check Start/End Qtr")</f>
        <v/>
      </c>
      <c r="E4" s="90"/>
      <c r="F4" s="91" t="s">
        <v>65</v>
      </c>
      <c r="G4" s="92">
        <f>IFERROR(Inputs!E52/Inputs!E65,"")</f>
        <v>1</v>
      </c>
      <c r="H4" s="92">
        <f>IFERROR(Inputs!F52/Inputs!F65,"")</f>
        <v>1</v>
      </c>
      <c r="I4" s="92" t="str">
        <f>IFERROR(Inputs!G52/Inputs!G65,"")</f>
        <v/>
      </c>
      <c r="J4" s="92" t="str">
        <f>IFERROR(Inputs!H52/Inputs!H65,"")</f>
        <v/>
      </c>
      <c r="K4" s="92" t="str">
        <f>IFERROR(Inputs!I52/Inputs!I65,"")</f>
        <v/>
      </c>
      <c r="L4" s="92" t="str">
        <f>IFERROR(Inputs!J52/Inputs!J65,"")</f>
        <v/>
      </c>
      <c r="M4" s="92" t="str">
        <f>IFERROR(Inputs!K52/Inputs!K65,"")</f>
        <v/>
      </c>
      <c r="N4" s="92" t="str">
        <f>IFERROR(Inputs!L52/Inputs!L65,"")</f>
        <v/>
      </c>
      <c r="O4" s="92" t="str">
        <f>IFERROR(Inputs!M52/Inputs!M65,"")</f>
        <v/>
      </c>
      <c r="P4" s="92" t="str">
        <f>IFERROR(Inputs!N52/Inputs!N65,"")</f>
        <v/>
      </c>
      <c r="Q4" s="92">
        <f>IFERROR(Inputs!O52/Inputs!O65,"")</f>
        <v>1</v>
      </c>
    </row>
    <row r="5" spans="2:21" s="94" customFormat="1" ht="25.95" customHeight="1" x14ac:dyDescent="0.3">
      <c r="C5" s="95"/>
      <c r="E5" s="96"/>
      <c r="F5" s="97" t="s">
        <v>66</v>
      </c>
      <c r="G5" s="98">
        <v>1</v>
      </c>
      <c r="H5" s="98">
        <v>2</v>
      </c>
      <c r="I5" s="98">
        <v>3</v>
      </c>
      <c r="J5" s="98">
        <v>4</v>
      </c>
      <c r="K5" s="98">
        <v>5</v>
      </c>
      <c r="L5" s="98">
        <v>6</v>
      </c>
      <c r="M5" s="98">
        <v>7</v>
      </c>
      <c r="N5" s="98">
        <v>8</v>
      </c>
      <c r="O5" s="98">
        <v>9</v>
      </c>
      <c r="P5" s="98">
        <v>10</v>
      </c>
      <c r="Q5" s="99" t="s">
        <v>66</v>
      </c>
      <c r="R5" s="100"/>
    </row>
    <row r="6" spans="2:21" x14ac:dyDescent="0.3">
      <c r="E6" s="96"/>
      <c r="F6" s="101" t="s">
        <v>67</v>
      </c>
      <c r="G6" s="102">
        <f>Inputs!E59</f>
        <v>1047200000</v>
      </c>
      <c r="H6" s="102">
        <f>Inputs!F59</f>
        <v>1047200000</v>
      </c>
      <c r="I6" s="102">
        <f>Inputs!G59</f>
        <v>0</v>
      </c>
      <c r="J6" s="102">
        <f>Inputs!H59</f>
        <v>0</v>
      </c>
      <c r="K6" s="102">
        <f>Inputs!I59</f>
        <v>0</v>
      </c>
      <c r="L6" s="102">
        <f>Inputs!J59</f>
        <v>0</v>
      </c>
      <c r="M6" s="102">
        <f>Inputs!K59</f>
        <v>0</v>
      </c>
      <c r="N6" s="102">
        <f>Inputs!L59</f>
        <v>0</v>
      </c>
      <c r="O6" s="102">
        <f>Inputs!M59</f>
        <v>0</v>
      </c>
      <c r="P6" s="102">
        <f>Inputs!N59</f>
        <v>0</v>
      </c>
      <c r="Q6" s="102">
        <f>SUM(G6:P6)</f>
        <v>2094400000</v>
      </c>
      <c r="S6" s="78" t="b">
        <f>Q6=Q9+Q12+Q15</f>
        <v>1</v>
      </c>
    </row>
    <row r="7" spans="2:21" x14ac:dyDescent="0.3">
      <c r="E7" s="103"/>
      <c r="F7" s="104" t="s">
        <v>68</v>
      </c>
      <c r="G7" s="105">
        <f>Inputs!E65</f>
        <v>6545000</v>
      </c>
      <c r="H7" s="105">
        <f>Inputs!F65</f>
        <v>6545000</v>
      </c>
      <c r="I7" s="105">
        <f>Inputs!G65</f>
        <v>0</v>
      </c>
      <c r="J7" s="105">
        <f>Inputs!H65</f>
        <v>0</v>
      </c>
      <c r="K7" s="105">
        <f>Inputs!I65</f>
        <v>0</v>
      </c>
      <c r="L7" s="105">
        <f>Inputs!J65</f>
        <v>0</v>
      </c>
      <c r="M7" s="105">
        <f>Inputs!K65</f>
        <v>0</v>
      </c>
      <c r="N7" s="105">
        <f>Inputs!L65</f>
        <v>0</v>
      </c>
      <c r="O7" s="105">
        <f>Inputs!M65</f>
        <v>0</v>
      </c>
      <c r="P7" s="105">
        <f>Inputs!N65</f>
        <v>0</v>
      </c>
      <c r="Q7" s="105">
        <f>SUM(G7:P7)</f>
        <v>13090000</v>
      </c>
      <c r="S7" s="78" t="b">
        <f>Q7=Q10+Q13+Q16</f>
        <v>1</v>
      </c>
    </row>
    <row r="8" spans="2:21" ht="15" thickBot="1" x14ac:dyDescent="0.35">
      <c r="E8" s="106"/>
      <c r="F8" s="101"/>
      <c r="G8" s="107"/>
      <c r="H8" s="107"/>
      <c r="I8" s="107"/>
      <c r="J8" s="107"/>
      <c r="K8" s="107"/>
      <c r="L8" s="107"/>
      <c r="M8" s="107"/>
      <c r="N8" s="107"/>
      <c r="O8" s="107"/>
      <c r="P8" s="107"/>
      <c r="Q8" s="107"/>
    </row>
    <row r="9" spans="2:21" x14ac:dyDescent="0.3">
      <c r="E9" s="108" t="s">
        <v>69</v>
      </c>
      <c r="F9" s="109" t="s">
        <v>70</v>
      </c>
      <c r="G9" s="110">
        <f>Inputs!E60</f>
        <v>1047200000</v>
      </c>
      <c r="H9" s="110">
        <f>Inputs!F60</f>
        <v>1047200000</v>
      </c>
      <c r="I9" s="110">
        <f>Inputs!G60</f>
        <v>0</v>
      </c>
      <c r="J9" s="110">
        <f>Inputs!H60</f>
        <v>0</v>
      </c>
      <c r="K9" s="110">
        <f>Inputs!I60</f>
        <v>0</v>
      </c>
      <c r="L9" s="110">
        <f>Inputs!J60</f>
        <v>0</v>
      </c>
      <c r="M9" s="110">
        <f>Inputs!K60</f>
        <v>0</v>
      </c>
      <c r="N9" s="110">
        <f>Inputs!L60</f>
        <v>0</v>
      </c>
      <c r="O9" s="110">
        <f>Inputs!M60</f>
        <v>0</v>
      </c>
      <c r="P9" s="110">
        <f>Inputs!N60</f>
        <v>0</v>
      </c>
      <c r="Q9" s="111">
        <f>SUM(G9:P9)</f>
        <v>2094400000</v>
      </c>
      <c r="S9" s="78" t="b">
        <f>Q9=Inputs!O60</f>
        <v>1</v>
      </c>
    </row>
    <row r="10" spans="2:21" x14ac:dyDescent="0.3">
      <c r="E10" s="112"/>
      <c r="F10" s="113" t="s">
        <v>71</v>
      </c>
      <c r="G10" s="114">
        <f>Inputs!E66</f>
        <v>6545000</v>
      </c>
      <c r="H10" s="114">
        <f>Inputs!F66</f>
        <v>6545000</v>
      </c>
      <c r="I10" s="114">
        <f>Inputs!G66</f>
        <v>0</v>
      </c>
      <c r="J10" s="114">
        <f>Inputs!H66</f>
        <v>0</v>
      </c>
      <c r="K10" s="114">
        <f>Inputs!I66</f>
        <v>0</v>
      </c>
      <c r="L10" s="114">
        <f>Inputs!J66</f>
        <v>0</v>
      </c>
      <c r="M10" s="114">
        <f>Inputs!K66</f>
        <v>0</v>
      </c>
      <c r="N10" s="114">
        <f>Inputs!L66</f>
        <v>0</v>
      </c>
      <c r="O10" s="114">
        <f>Inputs!M66</f>
        <v>0</v>
      </c>
      <c r="P10" s="114">
        <f>Inputs!N66</f>
        <v>0</v>
      </c>
      <c r="Q10" s="115">
        <f>SUM(G10:P10)</f>
        <v>13090000</v>
      </c>
      <c r="S10" s="78" t="b">
        <f>Q10=Inputs!O66</f>
        <v>1</v>
      </c>
    </row>
    <row r="11" spans="2:21" x14ac:dyDescent="0.3">
      <c r="E11" s="112"/>
      <c r="F11" s="113"/>
      <c r="G11" s="114"/>
      <c r="H11" s="114"/>
      <c r="I11" s="114"/>
      <c r="J11" s="114"/>
      <c r="K11" s="114"/>
      <c r="L11" s="114"/>
      <c r="M11" s="114"/>
      <c r="N11" s="114"/>
      <c r="O11" s="114"/>
      <c r="P11" s="114"/>
      <c r="Q11" s="115"/>
    </row>
    <row r="12" spans="2:21" x14ac:dyDescent="0.3">
      <c r="E12" s="112"/>
      <c r="F12" s="113" t="s">
        <v>72</v>
      </c>
      <c r="G12" s="114">
        <f>Inputs!E61</f>
        <v>0</v>
      </c>
      <c r="H12" s="114">
        <f>Inputs!F61</f>
        <v>0</v>
      </c>
      <c r="I12" s="114">
        <f>Inputs!G61</f>
        <v>0</v>
      </c>
      <c r="J12" s="114">
        <f>Inputs!H61</f>
        <v>0</v>
      </c>
      <c r="K12" s="114">
        <f>Inputs!I61</f>
        <v>0</v>
      </c>
      <c r="L12" s="114">
        <f>Inputs!J61</f>
        <v>0</v>
      </c>
      <c r="M12" s="114">
        <f>Inputs!K61</f>
        <v>0</v>
      </c>
      <c r="N12" s="114">
        <f>Inputs!L61</f>
        <v>0</v>
      </c>
      <c r="O12" s="114">
        <f>Inputs!M61</f>
        <v>0</v>
      </c>
      <c r="P12" s="114">
        <f>Inputs!N61</f>
        <v>0</v>
      </c>
      <c r="Q12" s="115">
        <f>SUM(G12:P12)</f>
        <v>0</v>
      </c>
      <c r="S12" s="78" t="b">
        <f>Q12=Inputs!O61+Inputs!O62</f>
        <v>1</v>
      </c>
      <c r="U12" s="116"/>
    </row>
    <row r="13" spans="2:21" x14ac:dyDescent="0.3">
      <c r="E13" s="112"/>
      <c r="F13" s="113" t="s">
        <v>73</v>
      </c>
      <c r="G13" s="114">
        <f>Inputs!E67+Inputs!E68</f>
        <v>0</v>
      </c>
      <c r="H13" s="114">
        <f>Inputs!F67+Inputs!F68</f>
        <v>0</v>
      </c>
      <c r="I13" s="114">
        <f>Inputs!G67+Inputs!G68</f>
        <v>0</v>
      </c>
      <c r="J13" s="114">
        <f>Inputs!H67+Inputs!H68</f>
        <v>0</v>
      </c>
      <c r="K13" s="114">
        <f>Inputs!I67+Inputs!I68</f>
        <v>0</v>
      </c>
      <c r="L13" s="114">
        <f>Inputs!J67+Inputs!J68</f>
        <v>0</v>
      </c>
      <c r="M13" s="114">
        <f>Inputs!K67+Inputs!K68</f>
        <v>0</v>
      </c>
      <c r="N13" s="114">
        <f>Inputs!L67+Inputs!L68</f>
        <v>0</v>
      </c>
      <c r="O13" s="114">
        <f>Inputs!M67+Inputs!M68</f>
        <v>0</v>
      </c>
      <c r="P13" s="114">
        <f>Inputs!N67+Inputs!N68</f>
        <v>0</v>
      </c>
      <c r="Q13" s="115">
        <f>SUM(G13:P13)</f>
        <v>0</v>
      </c>
      <c r="S13" s="78" t="b">
        <f>Q13=Inputs!O67+Inputs!O68</f>
        <v>1</v>
      </c>
    </row>
    <row r="14" spans="2:21" ht="15" thickBot="1" x14ac:dyDescent="0.35">
      <c r="B14" s="117" t="s">
        <v>74</v>
      </c>
      <c r="C14" s="117"/>
      <c r="E14" s="112"/>
      <c r="F14" s="113"/>
      <c r="G14" s="114"/>
      <c r="H14" s="114"/>
      <c r="I14" s="114"/>
      <c r="J14" s="114"/>
      <c r="K14" s="114"/>
      <c r="L14" s="114"/>
      <c r="M14" s="114"/>
      <c r="N14" s="114"/>
      <c r="O14" s="114"/>
      <c r="P14" s="114"/>
      <c r="Q14" s="115"/>
    </row>
    <row r="15" spans="2:21" x14ac:dyDescent="0.3">
      <c r="B15" s="118" t="s">
        <v>75</v>
      </c>
      <c r="C15" s="119">
        <f>Inputs!I3</f>
        <v>2</v>
      </c>
      <c r="E15" s="112"/>
      <c r="F15" s="113" t="s">
        <v>76</v>
      </c>
      <c r="G15" s="114">
        <f>Inputs!E63+Inputs!E62</f>
        <v>0</v>
      </c>
      <c r="H15" s="114">
        <f>Inputs!F63+Inputs!F62</f>
        <v>0</v>
      </c>
      <c r="I15" s="114">
        <f>Inputs!G63+Inputs!G62</f>
        <v>0</v>
      </c>
      <c r="J15" s="114">
        <f>Inputs!H63+Inputs!H62</f>
        <v>0</v>
      </c>
      <c r="K15" s="114">
        <f>Inputs!I63+Inputs!I62</f>
        <v>0</v>
      </c>
      <c r="L15" s="114">
        <f>Inputs!J63+Inputs!J62</f>
        <v>0</v>
      </c>
      <c r="M15" s="114">
        <f>Inputs!K63+Inputs!K62</f>
        <v>0</v>
      </c>
      <c r="N15" s="114">
        <f>Inputs!L63+Inputs!L62</f>
        <v>0</v>
      </c>
      <c r="O15" s="114">
        <f>Inputs!M63+Inputs!M62</f>
        <v>0</v>
      </c>
      <c r="P15" s="114">
        <f>Inputs!N63+Inputs!N62</f>
        <v>0</v>
      </c>
      <c r="Q15" s="115">
        <f>SUM(G15:P15)</f>
        <v>0</v>
      </c>
      <c r="S15" s="78" t="b">
        <f>Q15=Inputs!O63</f>
        <v>1</v>
      </c>
      <c r="U15" s="120"/>
    </row>
    <row r="16" spans="2:21" ht="15" thickBot="1" x14ac:dyDescent="0.35">
      <c r="B16" s="121" t="s">
        <v>77</v>
      </c>
      <c r="C16" s="122">
        <f>Inputs!O65</f>
        <v>13090000</v>
      </c>
      <c r="E16" s="123"/>
      <c r="F16" s="124" t="s">
        <v>78</v>
      </c>
      <c r="G16" s="125">
        <f>Inputs!E69+Inputs!E68</f>
        <v>0</v>
      </c>
      <c r="H16" s="125">
        <f>Inputs!F69+Inputs!F68</f>
        <v>0</v>
      </c>
      <c r="I16" s="125">
        <f>Inputs!G69+Inputs!G68</f>
        <v>0</v>
      </c>
      <c r="J16" s="125">
        <f>Inputs!H69+Inputs!H68</f>
        <v>0</v>
      </c>
      <c r="K16" s="125">
        <f>Inputs!I69+Inputs!I68</f>
        <v>0</v>
      </c>
      <c r="L16" s="125">
        <f>Inputs!J69+Inputs!J68</f>
        <v>0</v>
      </c>
      <c r="M16" s="125">
        <f>Inputs!K69+Inputs!K68</f>
        <v>0</v>
      </c>
      <c r="N16" s="125">
        <f>Inputs!L69+Inputs!L68</f>
        <v>0</v>
      </c>
      <c r="O16" s="125">
        <f>Inputs!M69+Inputs!M68</f>
        <v>0</v>
      </c>
      <c r="P16" s="125">
        <f>Inputs!N69+Inputs!N68</f>
        <v>0</v>
      </c>
      <c r="Q16" s="126">
        <f>SUM(G16:P16)</f>
        <v>0</v>
      </c>
      <c r="S16" s="78" t="b">
        <f>Q16=SUM(Inputs!O68:O69)</f>
        <v>1</v>
      </c>
    </row>
    <row r="17" spans="2:20" ht="15" thickBot="1" x14ac:dyDescent="0.35">
      <c r="B17" s="127" t="s">
        <v>79</v>
      </c>
      <c r="C17" s="128">
        <f>IFERROR(C16/C15,0)</f>
        <v>6545000</v>
      </c>
      <c r="E17" s="106"/>
      <c r="F17" s="129"/>
      <c r="G17" s="107"/>
      <c r="H17" s="107"/>
      <c r="I17" s="107"/>
      <c r="J17" s="107"/>
      <c r="K17" s="107"/>
      <c r="L17" s="107"/>
      <c r="M17" s="107"/>
      <c r="N17" s="107"/>
      <c r="O17" s="107"/>
      <c r="P17" s="107"/>
      <c r="Q17" s="107"/>
    </row>
    <row r="18" spans="2:20" x14ac:dyDescent="0.3">
      <c r="B18" s="78" t="s">
        <v>80</v>
      </c>
      <c r="C18" s="130">
        <f>IFERROR(Inputs!P66,"check")</f>
        <v>1</v>
      </c>
      <c r="E18" s="131" t="s">
        <v>81</v>
      </c>
      <c r="F18" s="132" t="s">
        <v>82</v>
      </c>
      <c r="G18" s="133">
        <f t="shared" ref="G18:P18" si="1">SUM(G19:G32)</f>
        <v>464694.99999999994</v>
      </c>
      <c r="H18" s="133">
        <f t="shared" si="1"/>
        <v>459458.99999999994</v>
      </c>
      <c r="I18" s="133">
        <f t="shared" si="1"/>
        <v>0</v>
      </c>
      <c r="J18" s="133">
        <f t="shared" si="1"/>
        <v>0</v>
      </c>
      <c r="K18" s="133">
        <f t="shared" si="1"/>
        <v>0</v>
      </c>
      <c r="L18" s="133">
        <f t="shared" si="1"/>
        <v>0</v>
      </c>
      <c r="M18" s="133">
        <f t="shared" si="1"/>
        <v>0</v>
      </c>
      <c r="N18" s="133">
        <f t="shared" si="1"/>
        <v>0</v>
      </c>
      <c r="O18" s="133">
        <f t="shared" si="1"/>
        <v>0</v>
      </c>
      <c r="P18" s="133">
        <f t="shared" si="1"/>
        <v>0</v>
      </c>
      <c r="Q18" s="134">
        <f>SUM(G18:P18)</f>
        <v>924153.99999999988</v>
      </c>
      <c r="R18" s="135"/>
    </row>
    <row r="19" spans="2:20" x14ac:dyDescent="0.3">
      <c r="B19" s="78" t="s">
        <v>83</v>
      </c>
      <c r="C19" s="130">
        <f>IFERROR(Inputs!P67,"check")</f>
        <v>0</v>
      </c>
      <c r="E19" s="136"/>
      <c r="F19" s="137" t="s">
        <v>84</v>
      </c>
      <c r="G19" s="114">
        <f>[1]Calcs!AY68</f>
        <v>53669.000000000007</v>
      </c>
      <c r="H19" s="114">
        <f>[1]Calcs!AZ68</f>
        <v>53669.000000000007</v>
      </c>
      <c r="I19" s="114">
        <f>[1]Calcs!BA68</f>
        <v>0</v>
      </c>
      <c r="J19" s="114">
        <f>[1]Calcs!BB68</f>
        <v>0</v>
      </c>
      <c r="K19" s="114">
        <f>[1]Calcs!BC68</f>
        <v>0</v>
      </c>
      <c r="L19" s="114">
        <f>[1]Calcs!BD68</f>
        <v>0</v>
      </c>
      <c r="M19" s="114">
        <f>[1]Calcs!BE68</f>
        <v>0</v>
      </c>
      <c r="N19" s="114">
        <f>[1]Calcs!BF68</f>
        <v>0</v>
      </c>
      <c r="O19" s="114">
        <f>[1]Calcs!BG68</f>
        <v>0</v>
      </c>
      <c r="P19" s="114">
        <f>[1]Calcs!BH68</f>
        <v>0</v>
      </c>
      <c r="Q19" s="115">
        <f>SUM(G19:P19)</f>
        <v>107338.00000000001</v>
      </c>
      <c r="R19" s="135"/>
    </row>
    <row r="20" spans="2:20" x14ac:dyDescent="0.3">
      <c r="B20" s="78" t="s">
        <v>85</v>
      </c>
      <c r="C20" s="130">
        <f>IFERROR(Inputs!P68,"check")</f>
        <v>0</v>
      </c>
      <c r="E20" s="136"/>
      <c r="F20" s="137" t="s">
        <v>86</v>
      </c>
      <c r="G20" s="114">
        <f>[1]Calcs!AN68</f>
        <v>293215.99999999994</v>
      </c>
      <c r="H20" s="114">
        <f>[1]Calcs!AO68</f>
        <v>293215.99999999994</v>
      </c>
      <c r="I20" s="114">
        <f>[1]Calcs!AP68</f>
        <v>0</v>
      </c>
      <c r="J20" s="114">
        <f>[1]Calcs!AQ68</f>
        <v>0</v>
      </c>
      <c r="K20" s="114">
        <f>[1]Calcs!AR68</f>
        <v>0</v>
      </c>
      <c r="L20" s="114">
        <f>[1]Calcs!AS68</f>
        <v>0</v>
      </c>
      <c r="M20" s="114">
        <f>[1]Calcs!AT68</f>
        <v>0</v>
      </c>
      <c r="N20" s="114">
        <f>[1]Calcs!AU68</f>
        <v>0</v>
      </c>
      <c r="O20" s="114">
        <f>[1]Calcs!AV68</f>
        <v>0</v>
      </c>
      <c r="P20" s="114">
        <f>[1]Calcs!AW68</f>
        <v>0</v>
      </c>
      <c r="Q20" s="115">
        <f>SUM(G20:P20)</f>
        <v>586431.99999999988</v>
      </c>
      <c r="R20" s="135"/>
    </row>
    <row r="21" spans="2:20" x14ac:dyDescent="0.3">
      <c r="B21" s="78" t="s">
        <v>87</v>
      </c>
      <c r="C21" s="130">
        <f>IFERROR(Inputs!P69,"check")</f>
        <v>0</v>
      </c>
      <c r="E21" s="136"/>
      <c r="F21" s="137"/>
      <c r="G21" s="114"/>
      <c r="H21" s="114"/>
      <c r="I21" s="114"/>
      <c r="J21" s="114"/>
      <c r="K21" s="114"/>
      <c r="L21" s="114"/>
      <c r="M21" s="114"/>
      <c r="N21" s="114"/>
      <c r="O21" s="114"/>
      <c r="P21" s="114"/>
      <c r="Q21" s="115"/>
      <c r="R21" s="135"/>
    </row>
    <row r="22" spans="2:20" x14ac:dyDescent="0.3">
      <c r="B22" s="78" t="s">
        <v>88</v>
      </c>
      <c r="C22" s="138">
        <f>SUM(G19:P25)</f>
        <v>693769.99999999988</v>
      </c>
      <c r="E22" s="136"/>
      <c r="F22" s="137" t="s">
        <v>89</v>
      </c>
      <c r="G22" s="114">
        <f>[1]Calcs!AY69</f>
        <v>0</v>
      </c>
      <c r="H22" s="114">
        <f>[1]Calcs!AZ69</f>
        <v>0</v>
      </c>
      <c r="I22" s="114">
        <f>[1]Calcs!BA69</f>
        <v>0</v>
      </c>
      <c r="J22" s="114">
        <f>[1]Calcs!BB69</f>
        <v>0</v>
      </c>
      <c r="K22" s="114">
        <f>[1]Calcs!BC69</f>
        <v>0</v>
      </c>
      <c r="L22" s="114">
        <f>[1]Calcs!BD69</f>
        <v>0</v>
      </c>
      <c r="M22" s="114">
        <f>[1]Calcs!BE69</f>
        <v>0</v>
      </c>
      <c r="N22" s="114">
        <f>[1]Calcs!BF69</f>
        <v>0</v>
      </c>
      <c r="O22" s="114">
        <f>[1]Calcs!BG69</f>
        <v>0</v>
      </c>
      <c r="P22" s="114">
        <f>[1]Calcs!BH69</f>
        <v>0</v>
      </c>
      <c r="Q22" s="115">
        <f>SUM(G22:P22)</f>
        <v>0</v>
      </c>
      <c r="R22" s="135"/>
    </row>
    <row r="23" spans="2:20" ht="14.4" customHeight="1" x14ac:dyDescent="0.3">
      <c r="B23" s="78" t="s">
        <v>90</v>
      </c>
      <c r="C23" s="138">
        <f>Q18</f>
        <v>924153.99999999988</v>
      </c>
      <c r="E23" s="136"/>
      <c r="F23" s="137" t="s">
        <v>91</v>
      </c>
      <c r="G23" s="114">
        <f>[1]Calcs!AN69</f>
        <v>0</v>
      </c>
      <c r="H23" s="114">
        <f>[1]Calcs!AO69</f>
        <v>0</v>
      </c>
      <c r="I23" s="114">
        <f>[1]Calcs!AP69</f>
        <v>0</v>
      </c>
      <c r="J23" s="114">
        <f>[1]Calcs!AQ69</f>
        <v>0</v>
      </c>
      <c r="K23" s="114">
        <f>[1]Calcs!AR69</f>
        <v>0</v>
      </c>
      <c r="L23" s="114">
        <f>[1]Calcs!AS69</f>
        <v>0</v>
      </c>
      <c r="M23" s="114">
        <f>[1]Calcs!AT69</f>
        <v>0</v>
      </c>
      <c r="N23" s="114">
        <f>[1]Calcs!AU69</f>
        <v>0</v>
      </c>
      <c r="O23" s="114">
        <f>[1]Calcs!AV69</f>
        <v>0</v>
      </c>
      <c r="P23" s="114">
        <f>[1]Calcs!AW69</f>
        <v>0</v>
      </c>
      <c r="Q23" s="115">
        <f>SUM(G23:P23)</f>
        <v>0</v>
      </c>
      <c r="R23" s="135"/>
    </row>
    <row r="24" spans="2:20" ht="14.4" customHeight="1" x14ac:dyDescent="0.3">
      <c r="B24" s="78" t="s">
        <v>92</v>
      </c>
      <c r="C24" s="138">
        <f>Q33</f>
        <v>0</v>
      </c>
      <c r="E24" s="136"/>
      <c r="F24" s="137"/>
      <c r="G24" s="114"/>
      <c r="H24" s="114"/>
      <c r="I24" s="114"/>
      <c r="J24" s="114"/>
      <c r="K24" s="114"/>
      <c r="L24" s="114"/>
      <c r="M24" s="114"/>
      <c r="N24" s="114"/>
      <c r="O24" s="114"/>
      <c r="P24" s="114"/>
      <c r="Q24" s="115"/>
      <c r="R24" s="135"/>
    </row>
    <row r="25" spans="2:20" ht="14.4" customHeight="1" x14ac:dyDescent="0.3">
      <c r="B25" s="78" t="s">
        <v>93</v>
      </c>
      <c r="C25" s="138">
        <f>IFERROR(Q40,0)</f>
        <v>924153.99999999988</v>
      </c>
      <c r="E25" s="136"/>
      <c r="F25" s="137" t="s">
        <v>94</v>
      </c>
      <c r="G25" s="114">
        <f>SUM([1]Calcs!AN70:AN71,[1]Calcs!AY70:AY71)</f>
        <v>0</v>
      </c>
      <c r="H25" s="114">
        <f>SUM([1]Calcs!AO70:AO71,[1]Calcs!AZ70:AZ71)</f>
        <v>0</v>
      </c>
      <c r="I25" s="114">
        <f>SUM([1]Calcs!AP70:AP71,[1]Calcs!BA70:BA71)</f>
        <v>0</v>
      </c>
      <c r="J25" s="114">
        <f>SUM([1]Calcs!AQ70:AQ71,[1]Calcs!BB70:BB71)</f>
        <v>0</v>
      </c>
      <c r="K25" s="114">
        <f>SUM([1]Calcs!AR70:AR71,[1]Calcs!BC70:BC71)</f>
        <v>0</v>
      </c>
      <c r="L25" s="114">
        <f>SUM([1]Calcs!AS70:AS71,[1]Calcs!BD70:BD71)</f>
        <v>0</v>
      </c>
      <c r="M25" s="114">
        <f>SUM([1]Calcs!AT70:AT71,[1]Calcs!BE70:BE71)</f>
        <v>0</v>
      </c>
      <c r="N25" s="114">
        <f>SUM([1]Calcs!AU70:AU71,[1]Calcs!BF70:BF71)</f>
        <v>0</v>
      </c>
      <c r="O25" s="114">
        <f>SUM([1]Calcs!AV70:AV71,[1]Calcs!BG70:BG71)</f>
        <v>0</v>
      </c>
      <c r="P25" s="114">
        <f>SUM([1]Calcs!AW70:AW71,[1]Calcs!BH70:BH71)</f>
        <v>0</v>
      </c>
      <c r="Q25" s="115">
        <f>SUM(G25:P25)</f>
        <v>0</v>
      </c>
      <c r="R25" s="135"/>
      <c r="S25" s="120">
        <f>SUM(Q20:Q25)</f>
        <v>586431.99999999988</v>
      </c>
    </row>
    <row r="26" spans="2:20" ht="14.4" customHeight="1" x14ac:dyDescent="0.3">
      <c r="B26" s="78" t="s">
        <v>95</v>
      </c>
      <c r="C26" s="138">
        <f>IFERROR(C25/C15,0)</f>
        <v>462076.99999999994</v>
      </c>
      <c r="E26" s="136"/>
      <c r="F26" s="137" t="s">
        <v>96</v>
      </c>
      <c r="G26" s="114">
        <f>G72</f>
        <v>52360</v>
      </c>
      <c r="H26" s="114">
        <f t="shared" ref="H26:P26" si="2">H72</f>
        <v>47124</v>
      </c>
      <c r="I26" s="114">
        <f t="shared" si="2"/>
        <v>0</v>
      </c>
      <c r="J26" s="114">
        <f t="shared" si="2"/>
        <v>0</v>
      </c>
      <c r="K26" s="114">
        <f t="shared" si="2"/>
        <v>0</v>
      </c>
      <c r="L26" s="114">
        <f t="shared" si="2"/>
        <v>0</v>
      </c>
      <c r="M26" s="114">
        <f t="shared" si="2"/>
        <v>0</v>
      </c>
      <c r="N26" s="114">
        <f t="shared" si="2"/>
        <v>0</v>
      </c>
      <c r="O26" s="114">
        <f t="shared" si="2"/>
        <v>0</v>
      </c>
      <c r="P26" s="114">
        <f t="shared" si="2"/>
        <v>0</v>
      </c>
      <c r="Q26" s="115">
        <f>SUM(G26:P26)</f>
        <v>99484</v>
      </c>
      <c r="R26" s="135"/>
    </row>
    <row r="27" spans="2:20" ht="14.4" customHeight="1" x14ac:dyDescent="0.3">
      <c r="B27" s="78" t="s">
        <v>97</v>
      </c>
      <c r="C27" s="138">
        <f>(Q40-Q32)/C15</f>
        <v>396626.99999999994</v>
      </c>
      <c r="E27" s="136"/>
      <c r="F27" s="139" t="s">
        <v>98</v>
      </c>
      <c r="G27" s="140"/>
      <c r="H27" s="140"/>
      <c r="I27" s="140"/>
      <c r="J27" s="140"/>
      <c r="K27" s="140"/>
      <c r="L27" s="140"/>
      <c r="M27" s="140"/>
      <c r="N27" s="140"/>
      <c r="O27" s="140"/>
      <c r="P27" s="140"/>
      <c r="Q27" s="141">
        <f>SUM(G27:P27)</f>
        <v>0</v>
      </c>
      <c r="R27" s="135"/>
    </row>
    <row r="28" spans="2:20" x14ac:dyDescent="0.3">
      <c r="B28" s="78" t="s">
        <v>99</v>
      </c>
      <c r="C28" s="142">
        <f>IFERROR(C24/C23,0)</f>
        <v>0</v>
      </c>
      <c r="E28" s="136"/>
      <c r="F28" s="139" t="s">
        <v>100</v>
      </c>
      <c r="G28" s="140">
        <f>-G36/1.2</f>
        <v>0</v>
      </c>
      <c r="H28" s="140">
        <f>-H36/1.2</f>
        <v>0</v>
      </c>
      <c r="I28" s="140">
        <f t="shared" ref="I28:P28" si="3">-I36/1.2</f>
        <v>0</v>
      </c>
      <c r="J28" s="140">
        <f t="shared" si="3"/>
        <v>0</v>
      </c>
      <c r="K28" s="140">
        <f t="shared" si="3"/>
        <v>0</v>
      </c>
      <c r="L28" s="140">
        <f t="shared" si="3"/>
        <v>0</v>
      </c>
      <c r="M28" s="140">
        <f t="shared" si="3"/>
        <v>0</v>
      </c>
      <c r="N28" s="140">
        <f t="shared" si="3"/>
        <v>0</v>
      </c>
      <c r="O28" s="140">
        <f t="shared" si="3"/>
        <v>0</v>
      </c>
      <c r="P28" s="140">
        <f t="shared" si="3"/>
        <v>0</v>
      </c>
      <c r="Q28" s="141">
        <f>SUM(G28:P28)</f>
        <v>0</v>
      </c>
      <c r="R28" s="135"/>
    </row>
    <row r="29" spans="2:20" x14ac:dyDescent="0.3">
      <c r="B29" s="78" t="s">
        <v>101</v>
      </c>
      <c r="C29" s="142">
        <f>IFERROR((C24-Q38)/C22,0)</f>
        <v>0</v>
      </c>
      <c r="E29" s="136"/>
      <c r="F29" s="139" t="s">
        <v>102</v>
      </c>
      <c r="G29" s="140">
        <f>[1]Calcs!BJ71</f>
        <v>0</v>
      </c>
      <c r="H29" s="140">
        <f>[1]Calcs!BK71</f>
        <v>0</v>
      </c>
      <c r="I29" s="140">
        <f>[1]Calcs!BL71</f>
        <v>0</v>
      </c>
      <c r="J29" s="140">
        <f>[1]Calcs!BM71</f>
        <v>0</v>
      </c>
      <c r="K29" s="140">
        <f>[1]Calcs!BN71</f>
        <v>0</v>
      </c>
      <c r="L29" s="140">
        <f>[1]Calcs!BO71</f>
        <v>0</v>
      </c>
      <c r="M29" s="140">
        <f>[1]Calcs!BP71</f>
        <v>0</v>
      </c>
      <c r="N29" s="140">
        <f>[1]Calcs!BQ71</f>
        <v>0</v>
      </c>
      <c r="O29" s="140">
        <f>[1]Calcs!BR71</f>
        <v>0</v>
      </c>
      <c r="P29" s="140">
        <f>[1]Calcs!BS71</f>
        <v>0</v>
      </c>
      <c r="Q29" s="141">
        <f t="shared" ref="Q29:Q32" si="4">SUM(G29:P29)</f>
        <v>0</v>
      </c>
      <c r="R29" s="135"/>
    </row>
    <row r="30" spans="2:20" ht="15.6" customHeight="1" x14ac:dyDescent="0.3">
      <c r="B30" s="78" t="s">
        <v>103</v>
      </c>
      <c r="C30" s="143">
        <v>2.7699999999999999E-2</v>
      </c>
      <c r="E30" s="136"/>
      <c r="F30" s="139" t="s">
        <v>104</v>
      </c>
      <c r="G30" s="140">
        <f>[1]Calcs!BJ69+[1]Calcs!BJ70</f>
        <v>0</v>
      </c>
      <c r="H30" s="140">
        <f>[1]Calcs!BK69+[1]Calcs!BK70</f>
        <v>0</v>
      </c>
      <c r="I30" s="140">
        <f>[1]Calcs!BL69+[1]Calcs!BL70</f>
        <v>0</v>
      </c>
      <c r="J30" s="140">
        <f>[1]Calcs!BM69+[1]Calcs!BM70</f>
        <v>0</v>
      </c>
      <c r="K30" s="140">
        <f>[1]Calcs!BN69+[1]Calcs!BN70</f>
        <v>0</v>
      </c>
      <c r="L30" s="140">
        <f>[1]Calcs!BO69+[1]Calcs!BO70</f>
        <v>0</v>
      </c>
      <c r="M30" s="140">
        <f>[1]Calcs!BP69+[1]Calcs!BP70</f>
        <v>0</v>
      </c>
      <c r="N30" s="140">
        <f>[1]Calcs!BQ69+[1]Calcs!BQ70</f>
        <v>0</v>
      </c>
      <c r="O30" s="140">
        <f>[1]Calcs!BR69+[1]Calcs!BR70</f>
        <v>0</v>
      </c>
      <c r="P30" s="140">
        <f>[1]Calcs!BS69+[1]Calcs!BS70</f>
        <v>0</v>
      </c>
      <c r="Q30" s="141">
        <f t="shared" si="4"/>
        <v>0</v>
      </c>
      <c r="R30" s="135"/>
    </row>
    <row r="31" spans="2:20" ht="15.6" customHeight="1" x14ac:dyDescent="0.3">
      <c r="B31" s="78" t="s">
        <v>103</v>
      </c>
      <c r="C31" s="143">
        <v>2.7699999999999999E-2</v>
      </c>
      <c r="E31" s="136"/>
      <c r="F31" s="139" t="s">
        <v>105</v>
      </c>
      <c r="G31" s="140">
        <f>SUM([1]Calcs!AC84,[1]Calcs!AC90)*[1]Calcs!$B$4</f>
        <v>0</v>
      </c>
      <c r="H31" s="140">
        <f>SUM([1]Calcs!AD84,[1]Calcs!AD90)*[1]Calcs!$B$4</f>
        <v>0</v>
      </c>
      <c r="I31" s="140">
        <f>SUM([1]Calcs!AE84,[1]Calcs!AE90)*[1]Calcs!$B$4</f>
        <v>0</v>
      </c>
      <c r="J31" s="140">
        <f>SUM([1]Calcs!AF84,[1]Calcs!AF90)*[1]Calcs!$B$4</f>
        <v>0</v>
      </c>
      <c r="K31" s="140">
        <f>SUM([1]Calcs!AG84,[1]Calcs!AG90)*[1]Calcs!$B$4</f>
        <v>0</v>
      </c>
      <c r="L31" s="140">
        <f>SUM([1]Calcs!AH84,[1]Calcs!AH90)*[1]Calcs!$B$4</f>
        <v>0</v>
      </c>
      <c r="M31" s="140">
        <f>SUM([1]Calcs!AI84,[1]Calcs!AI90)*[1]Calcs!$B$4</f>
        <v>0</v>
      </c>
      <c r="N31" s="140">
        <f>SUM([1]Calcs!AJ84,[1]Calcs!AJ90)*[1]Calcs!$B$4</f>
        <v>0</v>
      </c>
      <c r="O31" s="140">
        <f>SUM([1]Calcs!AK84,[1]Calcs!AK90)*[1]Calcs!$B$4</f>
        <v>0</v>
      </c>
      <c r="P31" s="140">
        <f>SUM([1]Calcs!AL84,[1]Calcs!AL90)*[1]Calcs!$B$4</f>
        <v>0</v>
      </c>
      <c r="Q31" s="141">
        <f t="shared" ref="Q31" si="5">SUM(G31:P31)</f>
        <v>0</v>
      </c>
      <c r="R31" s="135"/>
    </row>
    <row r="32" spans="2:20" ht="16.350000000000001" customHeight="1" thickBot="1" x14ac:dyDescent="0.35">
      <c r="B32" s="78" t="s">
        <v>106</v>
      </c>
      <c r="C32" s="144">
        <f>Q74</f>
        <v>1</v>
      </c>
      <c r="E32" s="145"/>
      <c r="F32" s="146" t="s">
        <v>107</v>
      </c>
      <c r="G32" s="147">
        <f>Inputs!E52*[1]Calcs!$B$3</f>
        <v>65450</v>
      </c>
      <c r="H32" s="147">
        <f>Inputs!F52*[1]Calcs!$B$3</f>
        <v>65450</v>
      </c>
      <c r="I32" s="147">
        <f>Inputs!G52*[1]Calcs!$B$3</f>
        <v>0</v>
      </c>
      <c r="J32" s="147">
        <f>Inputs!H52*[1]Calcs!$B$3</f>
        <v>0</v>
      </c>
      <c r="K32" s="147">
        <f>Inputs!I52*[1]Calcs!$B$3</f>
        <v>0</v>
      </c>
      <c r="L32" s="147">
        <f>Inputs!J52*[1]Calcs!$B$3</f>
        <v>0</v>
      </c>
      <c r="M32" s="147">
        <f>Inputs!K52*[1]Calcs!$B$3</f>
        <v>0</v>
      </c>
      <c r="N32" s="147">
        <f>Inputs!L52*[1]Calcs!$B$3</f>
        <v>0</v>
      </c>
      <c r="O32" s="147">
        <f>Inputs!M52*[1]Calcs!$B$3</f>
        <v>0</v>
      </c>
      <c r="P32" s="147">
        <f>Inputs!N52*[1]Calcs!$B$3</f>
        <v>0</v>
      </c>
      <c r="Q32" s="148">
        <f t="shared" si="4"/>
        <v>130900</v>
      </c>
      <c r="R32" s="149">
        <f>G20/G10</f>
        <v>4.4799999999999993E-2</v>
      </c>
      <c r="S32" s="149">
        <f t="shared" ref="S32:T32" si="6">H20/H10</f>
        <v>4.4799999999999993E-2</v>
      </c>
      <c r="T32" s="149" t="e">
        <f t="shared" si="6"/>
        <v>#DIV/0!</v>
      </c>
    </row>
    <row r="33" spans="2:19" ht="15.6" customHeight="1" x14ac:dyDescent="0.3">
      <c r="B33" s="150" t="s">
        <v>108</v>
      </c>
      <c r="C33" s="151">
        <f>Q34</f>
        <v>0</v>
      </c>
      <c r="E33" s="152" t="s">
        <v>109</v>
      </c>
      <c r="F33" s="153" t="s">
        <v>110</v>
      </c>
      <c r="G33" s="154">
        <f>SUM(G34:G38)</f>
        <v>0</v>
      </c>
      <c r="H33" s="154">
        <f t="shared" ref="H33:P33" si="7">SUM(H34:H38)</f>
        <v>0</v>
      </c>
      <c r="I33" s="154">
        <f t="shared" si="7"/>
        <v>0</v>
      </c>
      <c r="J33" s="154">
        <f t="shared" si="7"/>
        <v>0</v>
      </c>
      <c r="K33" s="154">
        <f t="shared" si="7"/>
        <v>0</v>
      </c>
      <c r="L33" s="154">
        <f t="shared" si="7"/>
        <v>0</v>
      </c>
      <c r="M33" s="154">
        <f t="shared" si="7"/>
        <v>0</v>
      </c>
      <c r="N33" s="154">
        <f t="shared" si="7"/>
        <v>0</v>
      </c>
      <c r="O33" s="154">
        <f t="shared" si="7"/>
        <v>0</v>
      </c>
      <c r="P33" s="154">
        <f t="shared" si="7"/>
        <v>0</v>
      </c>
      <c r="Q33" s="155">
        <f>SUM(Q34:Q38)</f>
        <v>0</v>
      </c>
      <c r="R33" s="135"/>
      <c r="S33" s="120"/>
    </row>
    <row r="34" spans="2:19" ht="16.350000000000001" customHeight="1" x14ac:dyDescent="0.3">
      <c r="B34" s="150" t="s">
        <v>111</v>
      </c>
      <c r="C34" s="151">
        <f>Q35+Q36</f>
        <v>0</v>
      </c>
      <c r="E34" s="156"/>
      <c r="F34" s="157" t="s">
        <v>112</v>
      </c>
      <c r="G34" s="158"/>
      <c r="H34" s="159"/>
      <c r="I34" s="159"/>
      <c r="J34" s="159"/>
      <c r="K34" s="159"/>
      <c r="L34" s="159"/>
      <c r="M34" s="159"/>
      <c r="N34" s="159"/>
      <c r="O34" s="159"/>
      <c r="P34" s="159"/>
      <c r="Q34" s="160">
        <f>SUM(G34:P34)</f>
        <v>0</v>
      </c>
      <c r="R34" s="135"/>
    </row>
    <row r="35" spans="2:19" x14ac:dyDescent="0.3">
      <c r="B35" s="150" t="s">
        <v>113</v>
      </c>
      <c r="C35" s="151">
        <f>Q37</f>
        <v>0</v>
      </c>
      <c r="E35" s="156"/>
      <c r="F35" s="157" t="s">
        <v>114</v>
      </c>
      <c r="G35" s="158"/>
      <c r="H35" s="158"/>
      <c r="I35" s="158"/>
      <c r="J35" s="158"/>
      <c r="K35" s="158"/>
      <c r="L35" s="158"/>
      <c r="M35" s="158"/>
      <c r="N35" s="158"/>
      <c r="O35" s="158"/>
      <c r="P35" s="158"/>
      <c r="Q35" s="160">
        <f>SUM(G35:P35)</f>
        <v>0</v>
      </c>
      <c r="R35" s="135"/>
    </row>
    <row r="36" spans="2:19" x14ac:dyDescent="0.3">
      <c r="B36" s="161" t="s">
        <v>115</v>
      </c>
      <c r="C36" s="162">
        <f>SUM(C33:C35)</f>
        <v>0</v>
      </c>
      <c r="E36" s="156"/>
      <c r="F36" s="157" t="s">
        <v>116</v>
      </c>
      <c r="G36" s="158"/>
      <c r="H36" s="158"/>
      <c r="I36" s="158"/>
      <c r="J36" s="158"/>
      <c r="K36" s="158"/>
      <c r="L36" s="158"/>
      <c r="M36" s="158"/>
      <c r="N36" s="158"/>
      <c r="O36" s="158"/>
      <c r="P36" s="158"/>
      <c r="Q36" s="160">
        <f>SUM(G36:P36)</f>
        <v>0</v>
      </c>
      <c r="R36" s="135"/>
      <c r="S36" s="120"/>
    </row>
    <row r="37" spans="2:19" ht="14.4" customHeight="1" x14ac:dyDescent="0.3">
      <c r="B37" s="163" t="s">
        <v>117</v>
      </c>
      <c r="C37" s="163"/>
      <c r="E37" s="156"/>
      <c r="F37" s="164" t="s">
        <v>118</v>
      </c>
      <c r="G37" s="158">
        <f>IF((0.06*G10)-G20&gt;0,0,(0.06*G10)-G20)</f>
        <v>0</v>
      </c>
      <c r="H37" s="158">
        <f>IF((0.06*H10)-H20&gt;0,0,(0.06*H10)-H20)</f>
        <v>0</v>
      </c>
      <c r="I37" s="158">
        <f t="shared" ref="I37" si="8">(0.06*I10)-I20</f>
        <v>0</v>
      </c>
      <c r="J37" s="158">
        <f t="shared" ref="J37:L37" si="9">(0.05*J10)-J20</f>
        <v>0</v>
      </c>
      <c r="K37" s="158">
        <f t="shared" si="9"/>
        <v>0</v>
      </c>
      <c r="L37" s="158">
        <f t="shared" si="9"/>
        <v>0</v>
      </c>
      <c r="M37" s="158"/>
      <c r="N37" s="158"/>
      <c r="O37" s="158"/>
      <c r="P37" s="158"/>
      <c r="Q37" s="160">
        <f>SUM(G37:P37)</f>
        <v>0</v>
      </c>
      <c r="R37" s="135"/>
      <c r="S37" s="120"/>
    </row>
    <row r="38" spans="2:19" ht="18" customHeight="1" thickBot="1" x14ac:dyDescent="0.35">
      <c r="B38" s="165" t="s">
        <v>119</v>
      </c>
      <c r="C38" s="166"/>
      <c r="E38" s="167"/>
      <c r="F38" s="168" t="s">
        <v>120</v>
      </c>
      <c r="G38" s="169">
        <f>SUM(G34:G35,G37)*$C$30</f>
        <v>0</v>
      </c>
      <c r="H38" s="169">
        <f t="shared" ref="H38:P38" si="10">SUM(H34:H35,H37)*$C$30</f>
        <v>0</v>
      </c>
      <c r="I38" s="169">
        <f t="shared" si="10"/>
        <v>0</v>
      </c>
      <c r="J38" s="169">
        <f t="shared" si="10"/>
        <v>0</v>
      </c>
      <c r="K38" s="169">
        <f t="shared" si="10"/>
        <v>0</v>
      </c>
      <c r="L38" s="169">
        <f t="shared" si="10"/>
        <v>0</v>
      </c>
      <c r="M38" s="169">
        <f t="shared" si="10"/>
        <v>0</v>
      </c>
      <c r="N38" s="169">
        <f t="shared" si="10"/>
        <v>0</v>
      </c>
      <c r="O38" s="169">
        <f t="shared" si="10"/>
        <v>0</v>
      </c>
      <c r="P38" s="169">
        <f t="shared" si="10"/>
        <v>0</v>
      </c>
      <c r="Q38" s="170">
        <f>SUM(G38:P38)</f>
        <v>0</v>
      </c>
      <c r="R38" s="135"/>
    </row>
    <row r="39" spans="2:19" ht="6.9" customHeight="1" x14ac:dyDescent="0.3">
      <c r="B39" s="171"/>
      <c r="C39" s="172"/>
      <c r="E39" s="173"/>
      <c r="F39" s="173"/>
      <c r="G39" s="174"/>
      <c r="H39" s="174"/>
      <c r="I39" s="174"/>
      <c r="J39" s="174"/>
      <c r="K39" s="174"/>
      <c r="L39" s="174"/>
      <c r="M39" s="174"/>
      <c r="N39" s="174"/>
      <c r="O39" s="174"/>
      <c r="P39" s="174"/>
      <c r="Q39" s="174"/>
    </row>
    <row r="40" spans="2:19" ht="17.399999999999999" customHeight="1" thickBot="1" x14ac:dyDescent="0.35">
      <c r="E40" s="175" t="s">
        <v>121</v>
      </c>
      <c r="F40" s="175"/>
      <c r="G40" s="176">
        <f t="shared" ref="G40:P40" si="11">G18+G33</f>
        <v>464694.99999999994</v>
      </c>
      <c r="H40" s="176">
        <f t="shared" si="11"/>
        <v>459458.99999999994</v>
      </c>
      <c r="I40" s="176">
        <f t="shared" si="11"/>
        <v>0</v>
      </c>
      <c r="J40" s="176">
        <f t="shared" si="11"/>
        <v>0</v>
      </c>
      <c r="K40" s="176">
        <f t="shared" si="11"/>
        <v>0</v>
      </c>
      <c r="L40" s="176">
        <f t="shared" si="11"/>
        <v>0</v>
      </c>
      <c r="M40" s="176">
        <f t="shared" si="11"/>
        <v>0</v>
      </c>
      <c r="N40" s="176">
        <f t="shared" si="11"/>
        <v>0</v>
      </c>
      <c r="O40" s="176">
        <f t="shared" si="11"/>
        <v>0</v>
      </c>
      <c r="P40" s="176">
        <f t="shared" si="11"/>
        <v>0</v>
      </c>
      <c r="Q40" s="176">
        <f>SUM(G40:P40)</f>
        <v>924153.99999999988</v>
      </c>
    </row>
    <row r="41" spans="2:19" ht="15" customHeight="1" thickTop="1" x14ac:dyDescent="0.3">
      <c r="B41" s="177"/>
      <c r="C41" s="177"/>
      <c r="E41" s="178" t="s">
        <v>122</v>
      </c>
      <c r="F41" s="178"/>
      <c r="G41" s="179">
        <f>G40</f>
        <v>464694.99999999994</v>
      </c>
      <c r="H41" s="179">
        <f>G41+H40</f>
        <v>924153.99999999988</v>
      </c>
      <c r="I41" s="179">
        <f>H41+I40</f>
        <v>924153.99999999988</v>
      </c>
      <c r="J41" s="179">
        <f>I41+J40</f>
        <v>924153.99999999988</v>
      </c>
      <c r="K41" s="179">
        <f t="shared" ref="K41:P41" si="12">J41+K40</f>
        <v>924153.99999999988</v>
      </c>
      <c r="L41" s="179">
        <f t="shared" si="12"/>
        <v>924153.99999999988</v>
      </c>
      <c r="M41" s="179">
        <f t="shared" si="12"/>
        <v>924153.99999999988</v>
      </c>
      <c r="N41" s="179">
        <f t="shared" si="12"/>
        <v>924153.99999999988</v>
      </c>
      <c r="O41" s="179">
        <f t="shared" si="12"/>
        <v>924153.99999999988</v>
      </c>
      <c r="P41" s="179">
        <f t="shared" si="12"/>
        <v>924153.99999999988</v>
      </c>
      <c r="Q41" s="179">
        <f>Q40</f>
        <v>924153.99999999988</v>
      </c>
    </row>
    <row r="42" spans="2:19" ht="9.6" customHeight="1" x14ac:dyDescent="0.3">
      <c r="E42" s="180"/>
      <c r="F42" s="180"/>
      <c r="G42" s="181"/>
      <c r="H42" s="181"/>
      <c r="I42" s="181"/>
      <c r="J42" s="181"/>
      <c r="K42" s="181"/>
      <c r="L42" s="181"/>
      <c r="M42" s="181"/>
      <c r="N42" s="181"/>
      <c r="O42" s="181"/>
      <c r="P42" s="181"/>
      <c r="Q42" s="181"/>
    </row>
    <row r="43" spans="2:19" ht="15" customHeight="1" x14ac:dyDescent="0.3">
      <c r="E43" s="182" t="s">
        <v>123</v>
      </c>
      <c r="F43" s="182"/>
      <c r="G43" s="183">
        <f>G44+G45+G46</f>
        <v>-17167.535</v>
      </c>
      <c r="H43" s="183">
        <f t="shared" ref="H43:P43" si="13">H44+H45+H46</f>
        <v>-15838.899999999998</v>
      </c>
      <c r="I43" s="183">
        <f t="shared" si="13"/>
        <v>0</v>
      </c>
      <c r="J43" s="183">
        <f t="shared" si="13"/>
        <v>0</v>
      </c>
      <c r="K43" s="183">
        <f t="shared" si="13"/>
        <v>0</v>
      </c>
      <c r="L43" s="183">
        <f t="shared" si="13"/>
        <v>0</v>
      </c>
      <c r="M43" s="183">
        <f t="shared" si="13"/>
        <v>0</v>
      </c>
      <c r="N43" s="183">
        <f t="shared" si="13"/>
        <v>0</v>
      </c>
      <c r="O43" s="183">
        <f t="shared" si="13"/>
        <v>0</v>
      </c>
      <c r="P43" s="183">
        <f t="shared" si="13"/>
        <v>0</v>
      </c>
      <c r="Q43" s="183">
        <f>SUM(G43:P43)</f>
        <v>-33006.434999999998</v>
      </c>
    </row>
    <row r="44" spans="2:19" ht="15" customHeight="1" x14ac:dyDescent="0.3">
      <c r="E44" s="184"/>
      <c r="F44" s="185" t="s">
        <v>124</v>
      </c>
      <c r="G44" s="186">
        <f t="shared" ref="G44:P44" si="14">-G$7*G$63</f>
        <v>-9139.8989154929568</v>
      </c>
      <c r="H44" s="186">
        <f t="shared" si="14"/>
        <v>-8432.5411267605614</v>
      </c>
      <c r="I44" s="186">
        <f t="shared" si="14"/>
        <v>0</v>
      </c>
      <c r="J44" s="186">
        <f t="shared" si="14"/>
        <v>0</v>
      </c>
      <c r="K44" s="186">
        <f t="shared" si="14"/>
        <v>0</v>
      </c>
      <c r="L44" s="186">
        <f t="shared" si="14"/>
        <v>0</v>
      </c>
      <c r="M44" s="186">
        <f t="shared" si="14"/>
        <v>0</v>
      </c>
      <c r="N44" s="186">
        <f t="shared" si="14"/>
        <v>0</v>
      </c>
      <c r="O44" s="186">
        <f t="shared" si="14"/>
        <v>0</v>
      </c>
      <c r="P44" s="186">
        <f t="shared" si="14"/>
        <v>0</v>
      </c>
      <c r="Q44" s="186">
        <f>SUM(G44:P44)</f>
        <v>-17572.440042253518</v>
      </c>
    </row>
    <row r="45" spans="2:19" ht="15" customHeight="1" x14ac:dyDescent="0.3">
      <c r="E45" s="184"/>
      <c r="F45" s="185" t="s">
        <v>125</v>
      </c>
      <c r="G45" s="186">
        <f t="shared" ref="G45:P45" si="15">-G$7*G$64</f>
        <v>-8027.6360845070421</v>
      </c>
      <c r="H45" s="186">
        <f t="shared" si="15"/>
        <v>-7406.3588732394373</v>
      </c>
      <c r="I45" s="186">
        <f t="shared" si="15"/>
        <v>0</v>
      </c>
      <c r="J45" s="186">
        <f t="shared" si="15"/>
        <v>0</v>
      </c>
      <c r="K45" s="186">
        <f t="shared" si="15"/>
        <v>0</v>
      </c>
      <c r="L45" s="186">
        <f t="shared" si="15"/>
        <v>0</v>
      </c>
      <c r="M45" s="186">
        <f t="shared" si="15"/>
        <v>0</v>
      </c>
      <c r="N45" s="186">
        <f t="shared" si="15"/>
        <v>0</v>
      </c>
      <c r="O45" s="186">
        <f t="shared" si="15"/>
        <v>0</v>
      </c>
      <c r="P45" s="186">
        <f t="shared" si="15"/>
        <v>0</v>
      </c>
      <c r="Q45" s="186">
        <f>SUM(G45:P45)</f>
        <v>-15433.994957746479</v>
      </c>
      <c r="S45" s="78">
        <f>0.034*0.8</f>
        <v>2.7200000000000002E-2</v>
      </c>
    </row>
    <row r="46" spans="2:19" ht="15" customHeight="1" x14ac:dyDescent="0.3">
      <c r="E46" s="187">
        <v>0.75</v>
      </c>
      <c r="F46" s="185" t="s">
        <v>126</v>
      </c>
      <c r="G46" s="186">
        <f t="shared" ref="G46:P46" si="16">-G28*$E$46</f>
        <v>0</v>
      </c>
      <c r="H46" s="186">
        <f t="shared" si="16"/>
        <v>0</v>
      </c>
      <c r="I46" s="186">
        <f t="shared" si="16"/>
        <v>0</v>
      </c>
      <c r="J46" s="186">
        <f t="shared" si="16"/>
        <v>0</v>
      </c>
      <c r="K46" s="186">
        <f t="shared" si="16"/>
        <v>0</v>
      </c>
      <c r="L46" s="186">
        <f t="shared" si="16"/>
        <v>0</v>
      </c>
      <c r="M46" s="186">
        <f t="shared" si="16"/>
        <v>0</v>
      </c>
      <c r="N46" s="186">
        <f t="shared" si="16"/>
        <v>0</v>
      </c>
      <c r="O46" s="186">
        <f t="shared" si="16"/>
        <v>0</v>
      </c>
      <c r="P46" s="186">
        <f t="shared" si="16"/>
        <v>0</v>
      </c>
      <c r="Q46" s="186">
        <f>SUM(G46:P46)</f>
        <v>0</v>
      </c>
      <c r="S46" s="78">
        <v>2.5000000000000001E-2</v>
      </c>
    </row>
    <row r="47" spans="2:19" ht="15" customHeight="1" thickBot="1" x14ac:dyDescent="0.35">
      <c r="E47" s="175" t="s">
        <v>127</v>
      </c>
      <c r="F47" s="175"/>
      <c r="G47" s="176">
        <f>G43+G40</f>
        <v>447527.46499999997</v>
      </c>
      <c r="H47" s="176">
        <f t="shared" ref="H47:P47" si="17">H43+H40</f>
        <v>443620.09999999992</v>
      </c>
      <c r="I47" s="176">
        <f t="shared" si="17"/>
        <v>0</v>
      </c>
      <c r="J47" s="176">
        <f t="shared" si="17"/>
        <v>0</v>
      </c>
      <c r="K47" s="176">
        <f t="shared" si="17"/>
        <v>0</v>
      </c>
      <c r="L47" s="176">
        <f t="shared" si="17"/>
        <v>0</v>
      </c>
      <c r="M47" s="176">
        <f t="shared" si="17"/>
        <v>0</v>
      </c>
      <c r="N47" s="176">
        <f t="shared" si="17"/>
        <v>0</v>
      </c>
      <c r="O47" s="176">
        <f t="shared" si="17"/>
        <v>0</v>
      </c>
      <c r="P47" s="176">
        <f t="shared" si="17"/>
        <v>0</v>
      </c>
      <c r="Q47" s="176">
        <f>SUM(G47:P47)</f>
        <v>891147.56499999994</v>
      </c>
    </row>
    <row r="48" spans="2:19" ht="15" customHeight="1" thickTop="1" x14ac:dyDescent="0.3">
      <c r="E48" s="178" t="s">
        <v>128</v>
      </c>
      <c r="F48" s="178"/>
      <c r="G48" s="179">
        <f>G47</f>
        <v>447527.46499999997</v>
      </c>
      <c r="H48" s="179">
        <f>G48+H47</f>
        <v>891147.56499999994</v>
      </c>
      <c r="I48" s="179">
        <f t="shared" ref="I48:P48" si="18">H48+I47</f>
        <v>891147.56499999994</v>
      </c>
      <c r="J48" s="179">
        <f t="shared" si="18"/>
        <v>891147.56499999994</v>
      </c>
      <c r="K48" s="179">
        <f t="shared" si="18"/>
        <v>891147.56499999994</v>
      </c>
      <c r="L48" s="179">
        <f t="shared" si="18"/>
        <v>891147.56499999994</v>
      </c>
      <c r="M48" s="179">
        <f t="shared" si="18"/>
        <v>891147.56499999994</v>
      </c>
      <c r="N48" s="179">
        <f t="shared" si="18"/>
        <v>891147.56499999994</v>
      </c>
      <c r="O48" s="179">
        <f t="shared" si="18"/>
        <v>891147.56499999994</v>
      </c>
      <c r="P48" s="179">
        <f t="shared" si="18"/>
        <v>891147.56499999994</v>
      </c>
      <c r="Q48" s="179">
        <f>Q47</f>
        <v>891147.56499999994</v>
      </c>
    </row>
    <row r="49" spans="2:17" ht="15" customHeight="1" x14ac:dyDescent="0.3">
      <c r="B49" s="171"/>
      <c r="C49" s="171"/>
      <c r="E49" s="185"/>
      <c r="F49" s="185"/>
      <c r="G49" s="185"/>
      <c r="H49" s="185"/>
      <c r="I49" s="185"/>
      <c r="J49" s="185"/>
      <c r="K49" s="185"/>
      <c r="L49" s="185"/>
      <c r="M49" s="185"/>
      <c r="N49" s="185"/>
      <c r="O49" s="185"/>
      <c r="P49" s="185"/>
      <c r="Q49" s="185"/>
    </row>
    <row r="50" spans="2:17" ht="15" customHeight="1" x14ac:dyDescent="0.3">
      <c r="C50" s="171"/>
      <c r="E50" s="178" t="s">
        <v>129</v>
      </c>
      <c r="F50" s="178"/>
      <c r="G50" s="179">
        <f>G56</f>
        <v>406843.14999999997</v>
      </c>
      <c r="H50" s="179">
        <f t="shared" ref="H50:P50" si="19">H56</f>
        <v>773471.33181818167</v>
      </c>
      <c r="I50" s="179">
        <f t="shared" si="19"/>
        <v>773471.33181818167</v>
      </c>
      <c r="J50" s="179">
        <f t="shared" si="19"/>
        <v>773471.33181818167</v>
      </c>
      <c r="K50" s="179">
        <f t="shared" si="19"/>
        <v>773471.33181818167</v>
      </c>
      <c r="L50" s="179">
        <f t="shared" si="19"/>
        <v>773471.33181818167</v>
      </c>
      <c r="M50" s="179">
        <f t="shared" si="19"/>
        <v>773471.33181818167</v>
      </c>
      <c r="N50" s="179">
        <f t="shared" si="19"/>
        <v>773471.33181818167</v>
      </c>
      <c r="O50" s="179">
        <f t="shared" si="19"/>
        <v>773471.33181818167</v>
      </c>
      <c r="P50" s="179">
        <f t="shared" si="19"/>
        <v>773471.33181818167</v>
      </c>
      <c r="Q50" s="179">
        <f>P50</f>
        <v>773471.33181818167</v>
      </c>
    </row>
    <row r="52" spans="2:17" outlineLevel="1" x14ac:dyDescent="0.3">
      <c r="E52" s="188" t="s">
        <v>130</v>
      </c>
      <c r="F52" s="188"/>
      <c r="G52" s="189">
        <f t="shared" ref="G52:Q52" si="20">IFERROR(G40/G7,0)</f>
        <v>7.0999999999999994E-2</v>
      </c>
      <c r="H52" s="189">
        <f t="shared" si="20"/>
        <v>7.0199999999999985E-2</v>
      </c>
      <c r="I52" s="189">
        <f t="shared" si="20"/>
        <v>0</v>
      </c>
      <c r="J52" s="189">
        <f t="shared" si="20"/>
        <v>0</v>
      </c>
      <c r="K52" s="189">
        <f t="shared" si="20"/>
        <v>0</v>
      </c>
      <c r="L52" s="189">
        <f t="shared" si="20"/>
        <v>0</v>
      </c>
      <c r="M52" s="189">
        <f t="shared" si="20"/>
        <v>0</v>
      </c>
      <c r="N52" s="189">
        <f t="shared" si="20"/>
        <v>0</v>
      </c>
      <c r="O52" s="189">
        <f t="shared" si="20"/>
        <v>0</v>
      </c>
      <c r="P52" s="189">
        <f t="shared" si="20"/>
        <v>0</v>
      </c>
      <c r="Q52" s="189">
        <f t="shared" si="20"/>
        <v>7.0599999999999996E-2</v>
      </c>
    </row>
    <row r="53" spans="2:17" outlineLevel="1" x14ac:dyDescent="0.3">
      <c r="E53" s="188" t="s">
        <v>131</v>
      </c>
      <c r="F53" s="188"/>
      <c r="G53" s="190">
        <f t="shared" ref="G53:Q53" si="21">IFERROR(G40/G6*10000,0)</f>
        <v>4.4375</v>
      </c>
      <c r="H53" s="190">
        <f t="shared" si="21"/>
        <v>4.3874999999999993</v>
      </c>
      <c r="I53" s="190">
        <f t="shared" si="21"/>
        <v>0</v>
      </c>
      <c r="J53" s="190">
        <f t="shared" si="21"/>
        <v>0</v>
      </c>
      <c r="K53" s="190">
        <f t="shared" si="21"/>
        <v>0</v>
      </c>
      <c r="L53" s="190">
        <f t="shared" si="21"/>
        <v>0</v>
      </c>
      <c r="M53" s="190">
        <f t="shared" si="21"/>
        <v>0</v>
      </c>
      <c r="N53" s="190">
        <f t="shared" si="21"/>
        <v>0</v>
      </c>
      <c r="O53" s="190">
        <f t="shared" si="21"/>
        <v>0</v>
      </c>
      <c r="P53" s="190">
        <f t="shared" si="21"/>
        <v>0</v>
      </c>
      <c r="Q53" s="190">
        <f t="shared" si="21"/>
        <v>4.4124999999999996</v>
      </c>
    </row>
    <row r="54" spans="2:17" outlineLevel="1" x14ac:dyDescent="0.3">
      <c r="E54" s="188" t="s">
        <v>132</v>
      </c>
      <c r="F54" s="188"/>
      <c r="G54" s="190">
        <f>IFERROR(SUM($G$40:G40)/SUM($G$6:G6)*10000,"")</f>
        <v>4.4375</v>
      </c>
      <c r="H54" s="190">
        <f>IFERROR(SUM($G$40:H40)/SUM($G$6:H6)*10000,"")</f>
        <v>4.4124999999999996</v>
      </c>
      <c r="I54" s="190">
        <f>IFERROR(SUM($G$40:I40)/SUM($G$6:I6)*10000,"")</f>
        <v>4.4124999999999996</v>
      </c>
      <c r="J54" s="190">
        <f>IFERROR(SUM($G$40:J40)/SUM($G$6:J6)*10000,"")</f>
        <v>4.4124999999999996</v>
      </c>
      <c r="K54" s="190">
        <f>IFERROR(SUM($G$40:K40)/SUM($G$6:K6)*10000,"")</f>
        <v>4.4124999999999996</v>
      </c>
      <c r="L54" s="190">
        <f>IFERROR(SUM($G$40:L40)/SUM($G$6:L6)*10000,"")</f>
        <v>4.4124999999999996</v>
      </c>
      <c r="M54" s="190">
        <f>IFERROR(SUM($G$40:M40)/SUM($G$6:M6)*10000,"")</f>
        <v>4.4124999999999996</v>
      </c>
      <c r="N54" s="190">
        <f>IFERROR(SUM($G$40:N40)/SUM($G$6:N6)*10000,"")</f>
        <v>4.4124999999999996</v>
      </c>
      <c r="O54" s="190">
        <f>IFERROR(SUM($G$40:O40)/SUM($G$6:O6)*10000,"")</f>
        <v>4.4124999999999996</v>
      </c>
      <c r="P54" s="190">
        <f>IFERROR(SUM($G$40:P40)/SUM($G$6:P6)*10000,"")</f>
        <v>4.4124999999999996</v>
      </c>
      <c r="Q54" s="190">
        <f>P54</f>
        <v>4.4124999999999996</v>
      </c>
    </row>
    <row r="55" spans="2:17" ht="3.75" customHeight="1" outlineLevel="1" x14ac:dyDescent="0.3"/>
    <row r="56" spans="2:17" outlineLevel="1" x14ac:dyDescent="0.3">
      <c r="E56" s="188" t="s">
        <v>133</v>
      </c>
      <c r="F56" s="188"/>
      <c r="G56" s="191">
        <f>G61</f>
        <v>406843.14999999997</v>
      </c>
      <c r="H56" s="191">
        <f t="shared" ref="H56:Q56" si="22">H61</f>
        <v>773471.33181818167</v>
      </c>
      <c r="I56" s="191">
        <f t="shared" si="22"/>
        <v>773471.33181818167</v>
      </c>
      <c r="J56" s="191">
        <f t="shared" si="22"/>
        <v>773471.33181818167</v>
      </c>
      <c r="K56" s="191">
        <f t="shared" si="22"/>
        <v>773471.33181818167</v>
      </c>
      <c r="L56" s="191">
        <f t="shared" si="22"/>
        <v>773471.33181818167</v>
      </c>
      <c r="M56" s="191">
        <f t="shared" si="22"/>
        <v>773471.33181818167</v>
      </c>
      <c r="N56" s="191">
        <f t="shared" si="22"/>
        <v>773471.33181818167</v>
      </c>
      <c r="O56" s="191">
        <f t="shared" si="22"/>
        <v>773471.33181818167</v>
      </c>
      <c r="P56" s="191">
        <f t="shared" si="22"/>
        <v>773471.33181818167</v>
      </c>
      <c r="Q56" s="191">
        <f t="shared" si="22"/>
        <v>773471.33181818167</v>
      </c>
    </row>
    <row r="57" spans="2:17" ht="15" customHeight="1" outlineLevel="1" x14ac:dyDescent="0.3">
      <c r="E57" s="192"/>
      <c r="F57" s="192"/>
      <c r="G57" s="193"/>
      <c r="H57" s="193"/>
      <c r="I57" s="193"/>
      <c r="J57" s="193"/>
      <c r="K57" s="193"/>
      <c r="L57" s="193"/>
      <c r="M57" s="193"/>
      <c r="N57" s="193"/>
      <c r="O57" s="193"/>
      <c r="P57" s="193"/>
      <c r="Q57" s="193"/>
    </row>
    <row r="58" spans="2:17" outlineLevel="1" x14ac:dyDescent="0.3">
      <c r="G58" s="78">
        <v>1</v>
      </c>
      <c r="H58" s="78">
        <v>2</v>
      </c>
      <c r="I58" s="78">
        <v>3</v>
      </c>
      <c r="J58" s="78">
        <v>4</v>
      </c>
      <c r="K58" s="78">
        <v>5</v>
      </c>
      <c r="L58" s="78">
        <v>6</v>
      </c>
      <c r="M58" s="78">
        <v>7</v>
      </c>
      <c r="N58" s="78">
        <v>8</v>
      </c>
      <c r="O58" s="78">
        <v>9</v>
      </c>
      <c r="P58" s="78">
        <v>10</v>
      </c>
    </row>
    <row r="59" spans="2:17" ht="15.6" outlineLevel="1" x14ac:dyDescent="0.3">
      <c r="F59" s="194">
        <v>1</v>
      </c>
      <c r="G59" s="195">
        <f t="shared" ref="G59:P59" si="23">(1+$E$60)^-G58</f>
        <v>0.90909090909090906</v>
      </c>
      <c r="H59" s="195">
        <f t="shared" si="23"/>
        <v>0.82644628099173545</v>
      </c>
      <c r="I59" s="195">
        <f t="shared" si="23"/>
        <v>0.75131480090157754</v>
      </c>
      <c r="J59" s="195">
        <f t="shared" si="23"/>
        <v>0.68301345536507052</v>
      </c>
      <c r="K59" s="195">
        <f t="shared" si="23"/>
        <v>0.62092132305915493</v>
      </c>
      <c r="L59" s="195">
        <f t="shared" si="23"/>
        <v>0.56447393005377722</v>
      </c>
      <c r="M59" s="195">
        <f t="shared" si="23"/>
        <v>0.51315811823070645</v>
      </c>
      <c r="N59" s="195">
        <f t="shared" si="23"/>
        <v>0.46650738020973315</v>
      </c>
      <c r="O59" s="195">
        <f t="shared" si="23"/>
        <v>0.42409761837248466</v>
      </c>
      <c r="P59" s="195">
        <f t="shared" si="23"/>
        <v>0.38554328942953148</v>
      </c>
    </row>
    <row r="60" spans="2:17" outlineLevel="1" x14ac:dyDescent="0.3">
      <c r="E60" s="196">
        <v>0.1</v>
      </c>
      <c r="F60" s="116">
        <f>G34</f>
        <v>0</v>
      </c>
      <c r="G60" s="116">
        <f t="shared" ref="G60:P60" si="24">G59*SUM(G35:G38,G18,G43)</f>
        <v>406843.14999999997</v>
      </c>
      <c r="H60" s="116">
        <f t="shared" si="24"/>
        <v>366628.18181818171</v>
      </c>
      <c r="I60" s="116">
        <f t="shared" si="24"/>
        <v>0</v>
      </c>
      <c r="J60" s="116">
        <f t="shared" si="24"/>
        <v>0</v>
      </c>
      <c r="K60" s="116">
        <f t="shared" si="24"/>
        <v>0</v>
      </c>
      <c r="L60" s="116">
        <f t="shared" si="24"/>
        <v>0</v>
      </c>
      <c r="M60" s="116">
        <f t="shared" si="24"/>
        <v>0</v>
      </c>
      <c r="N60" s="116">
        <f t="shared" si="24"/>
        <v>0</v>
      </c>
      <c r="O60" s="116">
        <f t="shared" si="24"/>
        <v>0</v>
      </c>
      <c r="P60" s="116">
        <f t="shared" si="24"/>
        <v>0</v>
      </c>
      <c r="Q60" s="197">
        <f>SUM(F60:P60)</f>
        <v>773471.33181818167</v>
      </c>
    </row>
    <row r="61" spans="2:17" outlineLevel="1" x14ac:dyDescent="0.3">
      <c r="E61" s="79" t="s">
        <v>134</v>
      </c>
      <c r="F61" s="116">
        <f>F60</f>
        <v>0</v>
      </c>
      <c r="G61" s="116">
        <f>F61+G60</f>
        <v>406843.14999999997</v>
      </c>
      <c r="H61" s="116">
        <f t="shared" ref="H61:P61" si="25">G61+H60</f>
        <v>773471.33181818167</v>
      </c>
      <c r="I61" s="116">
        <f t="shared" si="25"/>
        <v>773471.33181818167</v>
      </c>
      <c r="J61" s="116">
        <f t="shared" si="25"/>
        <v>773471.33181818167</v>
      </c>
      <c r="K61" s="116">
        <f t="shared" si="25"/>
        <v>773471.33181818167</v>
      </c>
      <c r="L61" s="116">
        <f t="shared" si="25"/>
        <v>773471.33181818167</v>
      </c>
      <c r="M61" s="116">
        <f t="shared" si="25"/>
        <v>773471.33181818167</v>
      </c>
      <c r="N61" s="116">
        <f t="shared" si="25"/>
        <v>773471.33181818167</v>
      </c>
      <c r="O61" s="116">
        <f t="shared" si="25"/>
        <v>773471.33181818167</v>
      </c>
      <c r="P61" s="116">
        <f t="shared" si="25"/>
        <v>773471.33181818167</v>
      </c>
      <c r="Q61" s="116">
        <f>IFERROR(HLOOKUP($C$15,$G$58:$P$61,4,0),0)</f>
        <v>773471.33181818167</v>
      </c>
    </row>
    <row r="62" spans="2:17" outlineLevel="1" x14ac:dyDescent="0.3"/>
    <row r="63" spans="2:17" outlineLevel="1" x14ac:dyDescent="0.3">
      <c r="E63" s="198">
        <v>0.53239436619718306</v>
      </c>
      <c r="F63" s="199" t="s">
        <v>124</v>
      </c>
      <c r="G63" s="200">
        <f>G$65*$E63</f>
        <v>1.3964704225352112E-3</v>
      </c>
      <c r="H63" s="200">
        <f t="shared" ref="H63:P64" si="26">H$65*$E63</f>
        <v>1.2883943661971828E-3</v>
      </c>
      <c r="I63" s="200">
        <f t="shared" si="26"/>
        <v>1.2074704225352112E-3</v>
      </c>
      <c r="J63" s="200">
        <f t="shared" si="26"/>
        <v>1.1419859154929578E-3</v>
      </c>
      <c r="K63" s="200">
        <f t="shared" si="26"/>
        <v>1.0860845070422534E-3</v>
      </c>
      <c r="L63" s="200">
        <f t="shared" si="26"/>
        <v>1.0360394366197183E-3</v>
      </c>
      <c r="M63" s="200">
        <f t="shared" si="26"/>
        <v>9.9025352112676063E-4</v>
      </c>
      <c r="N63" s="200">
        <f t="shared" si="26"/>
        <v>9.4819436619718301E-4</v>
      </c>
      <c r="O63" s="200">
        <f t="shared" si="26"/>
        <v>9.4819436619718301E-4</v>
      </c>
      <c r="P63" s="200">
        <f t="shared" si="26"/>
        <v>9.4819436619718301E-4</v>
      </c>
    </row>
    <row r="64" spans="2:17" outlineLevel="1" x14ac:dyDescent="0.3">
      <c r="E64" s="198">
        <v>0.46760563380281694</v>
      </c>
      <c r="F64" s="199" t="s">
        <v>125</v>
      </c>
      <c r="G64" s="200">
        <f>G$65*$E64</f>
        <v>1.2265295774647887E-3</v>
      </c>
      <c r="H64" s="200">
        <f t="shared" si="26"/>
        <v>1.131605633802817E-3</v>
      </c>
      <c r="I64" s="200">
        <f t="shared" si="26"/>
        <v>1.0605295774647888E-3</v>
      </c>
      <c r="J64" s="200">
        <f t="shared" si="26"/>
        <v>1.0030140845070424E-3</v>
      </c>
      <c r="K64" s="200">
        <f t="shared" si="26"/>
        <v>9.5391549295774662E-4</v>
      </c>
      <c r="L64" s="200">
        <f t="shared" si="26"/>
        <v>9.0996056338028179E-4</v>
      </c>
      <c r="M64" s="200">
        <f t="shared" si="26"/>
        <v>8.6974647887323958E-4</v>
      </c>
      <c r="N64" s="200">
        <f t="shared" si="26"/>
        <v>8.3280563380281703E-4</v>
      </c>
      <c r="O64" s="200">
        <f t="shared" si="26"/>
        <v>8.3280563380281703E-4</v>
      </c>
      <c r="P64" s="200">
        <f t="shared" si="26"/>
        <v>8.3280563380281703E-4</v>
      </c>
      <c r="Q64" s="201"/>
    </row>
    <row r="65" spans="5:19" outlineLevel="1" x14ac:dyDescent="0.3">
      <c r="E65" s="199"/>
      <c r="F65" s="199" t="s">
        <v>135</v>
      </c>
      <c r="G65" s="200">
        <v>2.6229999999999999E-3</v>
      </c>
      <c r="H65" s="200">
        <v>2.4199999999999998E-3</v>
      </c>
      <c r="I65" s="200">
        <v>2.2680000000000001E-3</v>
      </c>
      <c r="J65" s="200">
        <v>2.1450000000000002E-3</v>
      </c>
      <c r="K65" s="200">
        <v>2.0400000000000001E-3</v>
      </c>
      <c r="L65" s="200">
        <v>1.946E-3</v>
      </c>
      <c r="M65" s="200">
        <v>1.8600000000000001E-3</v>
      </c>
      <c r="N65" s="200">
        <v>1.781E-3</v>
      </c>
      <c r="O65" s="200">
        <v>1.781E-3</v>
      </c>
      <c r="P65" s="200">
        <v>1.781E-3</v>
      </c>
      <c r="Q65" s="202"/>
    </row>
    <row r="66" spans="5:19" outlineLevel="1" x14ac:dyDescent="0.3">
      <c r="F66" s="78" t="s">
        <v>136</v>
      </c>
      <c r="G66" s="197">
        <f t="shared" ref="G66:P66" si="27">SUM(G19,G20,G22,G23,G25)</f>
        <v>346884.99999999994</v>
      </c>
      <c r="H66" s="197">
        <f t="shared" si="27"/>
        <v>346884.99999999994</v>
      </c>
      <c r="I66" s="197">
        <f t="shared" si="27"/>
        <v>0</v>
      </c>
      <c r="J66" s="197">
        <f t="shared" si="27"/>
        <v>0</v>
      </c>
      <c r="K66" s="197">
        <f t="shared" si="27"/>
        <v>0</v>
      </c>
      <c r="L66" s="197">
        <f t="shared" si="27"/>
        <v>0</v>
      </c>
      <c r="M66" s="197">
        <f t="shared" si="27"/>
        <v>0</v>
      </c>
      <c r="N66" s="197">
        <f t="shared" si="27"/>
        <v>0</v>
      </c>
      <c r="O66" s="197">
        <f t="shared" si="27"/>
        <v>0</v>
      </c>
      <c r="P66" s="197">
        <f t="shared" si="27"/>
        <v>0</v>
      </c>
      <c r="Q66" s="116">
        <f>SUM(G66:P66)</f>
        <v>693769.99999999988</v>
      </c>
    </row>
    <row r="67" spans="5:19" outlineLevel="1" x14ac:dyDescent="0.3">
      <c r="F67" s="78" t="s">
        <v>137</v>
      </c>
      <c r="G67" s="116">
        <f t="shared" ref="G67:P67" si="28">-$G$2*G66</f>
        <v>0</v>
      </c>
      <c r="H67" s="116">
        <f t="shared" si="28"/>
        <v>0</v>
      </c>
      <c r="I67" s="116">
        <f t="shared" si="28"/>
        <v>0</v>
      </c>
      <c r="J67" s="116">
        <f t="shared" si="28"/>
        <v>0</v>
      </c>
      <c r="K67" s="116">
        <f t="shared" si="28"/>
        <v>0</v>
      </c>
      <c r="L67" s="116">
        <f t="shared" si="28"/>
        <v>0</v>
      </c>
      <c r="M67" s="116">
        <f t="shared" si="28"/>
        <v>0</v>
      </c>
      <c r="N67" s="116">
        <f t="shared" si="28"/>
        <v>0</v>
      </c>
      <c r="O67" s="116">
        <f t="shared" si="28"/>
        <v>0</v>
      </c>
      <c r="P67" s="116">
        <f t="shared" si="28"/>
        <v>0</v>
      </c>
      <c r="Q67" s="116">
        <f>SUM(G67:P67)</f>
        <v>0</v>
      </c>
    </row>
    <row r="68" spans="5:19" outlineLevel="1" x14ac:dyDescent="0.3">
      <c r="E68" s="203" t="s">
        <v>138</v>
      </c>
      <c r="F68" s="204" t="s">
        <v>139</v>
      </c>
      <c r="G68" s="205">
        <v>0.5</v>
      </c>
      <c r="H68" s="205">
        <f>G68*0.9</f>
        <v>0.45</v>
      </c>
      <c r="I68" s="205">
        <f t="shared" ref="I68:P69" si="29">H68*0.9</f>
        <v>0.40500000000000003</v>
      </c>
      <c r="J68" s="205">
        <f t="shared" si="29"/>
        <v>0.36450000000000005</v>
      </c>
      <c r="K68" s="205">
        <f t="shared" si="29"/>
        <v>0.32805000000000006</v>
      </c>
      <c r="L68" s="205">
        <f t="shared" si="29"/>
        <v>0.29524500000000009</v>
      </c>
      <c r="M68" s="205">
        <f t="shared" si="29"/>
        <v>0.26572050000000008</v>
      </c>
      <c r="N68" s="205">
        <f t="shared" si="29"/>
        <v>0.23914845000000007</v>
      </c>
      <c r="O68" s="205">
        <f t="shared" si="29"/>
        <v>0.21523360500000008</v>
      </c>
      <c r="P68" s="205">
        <f t="shared" si="29"/>
        <v>0.19371024450000007</v>
      </c>
    </row>
    <row r="69" spans="5:19" outlineLevel="1" x14ac:dyDescent="0.3">
      <c r="E69" s="203" t="s">
        <v>140</v>
      </c>
      <c r="F69" s="204" t="s">
        <v>139</v>
      </c>
      <c r="G69" s="205">
        <v>0.5</v>
      </c>
      <c r="H69" s="205">
        <f>G69*0.9</f>
        <v>0.45</v>
      </c>
      <c r="I69" s="205">
        <f t="shared" si="29"/>
        <v>0.40500000000000003</v>
      </c>
      <c r="J69" s="205">
        <f t="shared" si="29"/>
        <v>0.36450000000000005</v>
      </c>
      <c r="K69" s="205">
        <f t="shared" si="29"/>
        <v>0.32805000000000006</v>
      </c>
      <c r="L69" s="205">
        <f t="shared" si="29"/>
        <v>0.29524500000000009</v>
      </c>
      <c r="M69" s="205">
        <f t="shared" si="29"/>
        <v>0.26572050000000008</v>
      </c>
      <c r="N69" s="205">
        <f t="shared" si="29"/>
        <v>0.23914845000000007</v>
      </c>
      <c r="O69" s="205">
        <f t="shared" si="29"/>
        <v>0.21523360500000008</v>
      </c>
      <c r="P69" s="205">
        <f t="shared" si="29"/>
        <v>0.19371024450000007</v>
      </c>
    </row>
    <row r="70" spans="5:19" outlineLevel="1" x14ac:dyDescent="0.3">
      <c r="F70" s="78" t="s">
        <v>141</v>
      </c>
      <c r="G70" s="116">
        <f>Inputs!E21+Inputs!E22+Inputs!E23+Inputs!E34+Inputs!E35+Inputs!E36</f>
        <v>0</v>
      </c>
      <c r="H70" s="116">
        <f>Inputs!F21+Inputs!F22+Inputs!F23+Inputs!F34+Inputs!F35+Inputs!F36</f>
        <v>0</v>
      </c>
      <c r="I70" s="116">
        <f>Inputs!G21+Inputs!G22+Inputs!G23+Inputs!G34+Inputs!G35+Inputs!G36</f>
        <v>0</v>
      </c>
      <c r="J70" s="116">
        <f>Inputs!H21+Inputs!H22+Inputs!H23+Inputs!H34+Inputs!H35+Inputs!H36</f>
        <v>0</v>
      </c>
      <c r="K70" s="116">
        <f>Inputs!I21+Inputs!I22+Inputs!I23+Inputs!I34+Inputs!I35+Inputs!I36</f>
        <v>0</v>
      </c>
      <c r="L70" s="116">
        <f>Inputs!J21+Inputs!J22+Inputs!J23+Inputs!J34+Inputs!J35+Inputs!J36</f>
        <v>0</v>
      </c>
      <c r="M70" s="116">
        <f>Inputs!K21+Inputs!K22+Inputs!K23+Inputs!K34+Inputs!K35+Inputs!K36</f>
        <v>0</v>
      </c>
      <c r="N70" s="116">
        <f>Inputs!L21+Inputs!L22+Inputs!L23+Inputs!L34+Inputs!L35+Inputs!L36</f>
        <v>0</v>
      </c>
      <c r="O70" s="116">
        <f>Inputs!M21+Inputs!M22+Inputs!M23+Inputs!M34+Inputs!M35+Inputs!M36</f>
        <v>0</v>
      </c>
      <c r="P70" s="116">
        <f>Inputs!N21+Inputs!N22+Inputs!N23+Inputs!N34+Inputs!N35+Inputs!N36</f>
        <v>0</v>
      </c>
    </row>
    <row r="71" spans="5:19" outlineLevel="1" x14ac:dyDescent="0.3">
      <c r="F71" s="78" t="s">
        <v>142</v>
      </c>
      <c r="G71" s="116">
        <f>SUM(Inputs!E47:E49)</f>
        <v>1047200000</v>
      </c>
      <c r="H71" s="116">
        <f>SUM(Inputs!F47:F49)</f>
        <v>1047200000</v>
      </c>
      <c r="I71" s="116">
        <f>SUM(Inputs!G47:G49)</f>
        <v>0</v>
      </c>
      <c r="J71" s="116">
        <f>SUM(Inputs!H47:H49)</f>
        <v>0</v>
      </c>
      <c r="K71" s="116">
        <f>SUM(Inputs!I47:I49)</f>
        <v>0</v>
      </c>
      <c r="L71" s="116">
        <f>SUM(Inputs!J47:J49)</f>
        <v>0</v>
      </c>
      <c r="M71" s="116">
        <f>SUM(Inputs!K47:K49)</f>
        <v>0</v>
      </c>
      <c r="N71" s="116">
        <f>SUM(Inputs!L47:L49)</f>
        <v>0</v>
      </c>
      <c r="O71" s="116">
        <f>SUM(Inputs!M47:M49)</f>
        <v>0</v>
      </c>
      <c r="P71" s="116">
        <f>SUM(Inputs!N47:N49)</f>
        <v>0</v>
      </c>
    </row>
    <row r="72" spans="5:19" ht="15" outlineLevel="1" thickBot="1" x14ac:dyDescent="0.35">
      <c r="F72" s="78" t="s">
        <v>143</v>
      </c>
      <c r="G72" s="116">
        <f>(G68*G70/10000)+(G69*G71/10000)</f>
        <v>52360</v>
      </c>
      <c r="H72" s="116">
        <f t="shared" ref="H72:P72" si="30">(H68*H70/10000)+(H69*H71/10000)</f>
        <v>47124</v>
      </c>
      <c r="I72" s="116">
        <f t="shared" si="30"/>
        <v>0</v>
      </c>
      <c r="J72" s="116">
        <f t="shared" si="30"/>
        <v>0</v>
      </c>
      <c r="K72" s="116">
        <f t="shared" si="30"/>
        <v>0</v>
      </c>
      <c r="L72" s="116">
        <f t="shared" si="30"/>
        <v>0</v>
      </c>
      <c r="M72" s="116">
        <f t="shared" si="30"/>
        <v>0</v>
      </c>
      <c r="N72" s="116">
        <f t="shared" si="30"/>
        <v>0</v>
      </c>
      <c r="O72" s="116">
        <f t="shared" si="30"/>
        <v>0</v>
      </c>
      <c r="P72" s="116">
        <f t="shared" si="30"/>
        <v>0</v>
      </c>
    </row>
    <row r="73" spans="5:19" outlineLevel="1" x14ac:dyDescent="0.3">
      <c r="E73" s="206"/>
      <c r="F73" s="207" t="s">
        <v>144</v>
      </c>
      <c r="G73" s="208">
        <f>IF(G58&lt;=$C$15,IF(SUM($G$47:G47)&gt;0,1,0),0)</f>
        <v>1</v>
      </c>
      <c r="H73" s="208">
        <f>IF(H58&lt;=$C$15,IF(SUM($G$47:H47)&gt;0,1,0),0)</f>
        <v>1</v>
      </c>
      <c r="I73" s="208">
        <f>IF(I58&lt;=$C$15,IF(SUM($G$47:I47)&gt;0,1,0),0)</f>
        <v>0</v>
      </c>
      <c r="J73" s="208">
        <f>IF(J58&lt;=$C$15,IF(SUM($G$47:J47)&gt;0,1,0),0)</f>
        <v>0</v>
      </c>
      <c r="K73" s="208">
        <f>IF(K58&lt;=$C$15,IF(SUM($G$47:K47)&gt;0,1,0),0)</f>
        <v>0</v>
      </c>
      <c r="L73" s="208">
        <f>IF(L58&lt;=$C$15,IF(SUM($G$47:L47)&gt;0,1,0),0)</f>
        <v>0</v>
      </c>
      <c r="M73" s="208">
        <f>IF(M58&lt;=$C$15,IF(SUM($G$47:M47)&gt;0,1,0),0)</f>
        <v>0</v>
      </c>
      <c r="N73" s="208">
        <f>IF(N58&lt;=$C$15,IF(SUM($G$47:N47)&gt;0,1,0),0)</f>
        <v>0</v>
      </c>
      <c r="O73" s="208">
        <f>IF(O58&lt;=$C$15,IF(SUM($G$47:O47)&gt;0,1,0),0)</f>
        <v>0</v>
      </c>
      <c r="P73" s="208">
        <f>IF(P58&lt;=$C$15,IF(SUM($G$47:P47)&gt;0,1,0),0)</f>
        <v>0</v>
      </c>
      <c r="Q73" s="207">
        <f>IF(SUM(G73:P73)&lt;C15,0,1)</f>
        <v>1</v>
      </c>
      <c r="R73" s="207"/>
      <c r="S73" s="209" t="str">
        <f>IF(Q73=0,"Check - does not break even","OK")</f>
        <v>OK</v>
      </c>
    </row>
    <row r="74" spans="5:19" ht="15" outlineLevel="1" thickBot="1" x14ac:dyDescent="0.35">
      <c r="E74" s="71" t="s">
        <v>145</v>
      </c>
      <c r="G74" s="210">
        <f>IF(SUM($G$47:G47)&gt;0,1,0)</f>
        <v>1</v>
      </c>
      <c r="H74" s="210">
        <f>IF(SUM($G$74:G74)=1,0,IF(SUM($G$47:H47)&gt;0,1,0))</f>
        <v>0</v>
      </c>
      <c r="I74" s="210">
        <f>IF(SUM($G$74:H74)=1,0,IF(SUM($G$47:I47)&gt;0,1,0))</f>
        <v>0</v>
      </c>
      <c r="J74" s="210">
        <f>IF(SUM($G$74:I74)=1,0,IF(SUM($G$47:J47)&gt;0,1,0))</f>
        <v>0</v>
      </c>
      <c r="K74" s="210">
        <f>IF(SUM($G$74:J74)=1,0,IF(SUM($G$47:K47)&gt;0,1,0))</f>
        <v>0</v>
      </c>
      <c r="L74" s="210">
        <f>IF(SUM($G$74:K74)=1,0,IF(SUM($G$47:L47)&gt;0,1,0))</f>
        <v>0</v>
      </c>
      <c r="M74" s="210">
        <f>IF(SUM($G$74:L74)=1,0,IF(SUM($G$47:M47)&gt;0,1,0))</f>
        <v>0</v>
      </c>
      <c r="N74" s="210">
        <f>IF(SUM($G$74:M74)=1,0,IF(SUM($G$47:N47)&gt;0,1,0))</f>
        <v>0</v>
      </c>
      <c r="O74" s="210">
        <f>IF(SUM($G$74:N74)=1,0,IF(SUM($G$47:O47)&gt;0,1,0))</f>
        <v>0</v>
      </c>
      <c r="P74" s="210">
        <f>IF(SUM($G$74:O74)=1,0,IF(SUM($G$47:P47)&gt;0,1,0))</f>
        <v>0</v>
      </c>
      <c r="Q74" s="197">
        <f>IF(SUM(G74:P74)&gt;1,"Error",MATCH(1,G74:P74,0))</f>
        <v>1</v>
      </c>
      <c r="R74" s="211"/>
      <c r="S74" s="212"/>
    </row>
    <row r="75" spans="5:19" x14ac:dyDescent="0.3">
      <c r="E75" s="213"/>
      <c r="F75" s="214"/>
      <c r="G75" s="214"/>
      <c r="H75" s="214"/>
      <c r="I75" s="214"/>
      <c r="J75" s="214"/>
      <c r="K75" s="214"/>
      <c r="L75" s="214"/>
      <c r="M75" s="214"/>
      <c r="N75" s="215" t="s">
        <v>146</v>
      </c>
      <c r="O75" s="215"/>
      <c r="P75" s="215"/>
      <c r="Q75" s="216"/>
    </row>
    <row r="76" spans="5:19" x14ac:dyDescent="0.3">
      <c r="E76" s="217"/>
      <c r="F76"/>
      <c r="G76"/>
      <c r="H76"/>
      <c r="I76"/>
      <c r="J76"/>
      <c r="K76"/>
      <c r="L76"/>
      <c r="M76"/>
      <c r="N76" s="218" t="s">
        <v>147</v>
      </c>
      <c r="O76" s="218"/>
      <c r="P76" s="218"/>
      <c r="Q76" s="219"/>
    </row>
    <row r="77" spans="5:19" ht="26.1" customHeight="1" x14ac:dyDescent="0.3">
      <c r="E77" s="220"/>
      <c r="F77" s="221"/>
      <c r="G77" s="222" t="s">
        <v>148</v>
      </c>
      <c r="H77" s="222" t="s">
        <v>149</v>
      </c>
      <c r="I77" s="223" t="s">
        <v>150</v>
      </c>
      <c r="J77"/>
      <c r="K77"/>
      <c r="L77"/>
      <c r="M77"/>
      <c r="N77" s="224" t="s">
        <v>151</v>
      </c>
      <c r="O77" s="224" t="s">
        <v>152</v>
      </c>
      <c r="P77" s="225" t="s">
        <v>153</v>
      </c>
      <c r="Q77" s="219"/>
    </row>
    <row r="78" spans="5:19" x14ac:dyDescent="0.3">
      <c r="E78" s="217" t="s">
        <v>154</v>
      </c>
      <c r="F78"/>
      <c r="G78" s="226">
        <f>SUM([1]Calcs!AN104:AW104)</f>
        <v>0</v>
      </c>
      <c r="H78" s="227">
        <f t="shared" ref="H78:H86" si="31">IF(I78=0,G78/SUM($G$78:$G$86),I78)</f>
        <v>0</v>
      </c>
      <c r="I78" s="228">
        <v>0</v>
      </c>
      <c r="J78"/>
      <c r="K78"/>
      <c r="L78"/>
      <c r="M78"/>
      <c r="N78" s="229">
        <v>0</v>
      </c>
      <c r="O78" s="229">
        <v>99999</v>
      </c>
      <c r="P78" s="230">
        <v>0</v>
      </c>
      <c r="Q78" s="219"/>
    </row>
    <row r="79" spans="5:19" x14ac:dyDescent="0.3">
      <c r="E79" s="217" t="s">
        <v>155</v>
      </c>
      <c r="F79"/>
      <c r="G79" s="226">
        <f>SUM([1]Calcs!AN105:AW105)</f>
        <v>0</v>
      </c>
      <c r="H79" s="227">
        <f t="shared" si="31"/>
        <v>0</v>
      </c>
      <c r="I79" s="228">
        <v>0</v>
      </c>
      <c r="J79"/>
      <c r="K79"/>
      <c r="L79"/>
      <c r="M79"/>
      <c r="N79" s="229">
        <f>O78+1</f>
        <v>100000</v>
      </c>
      <c r="O79" s="229">
        <v>499999</v>
      </c>
      <c r="P79" s="230">
        <v>0.1</v>
      </c>
      <c r="Q79" s="219"/>
    </row>
    <row r="80" spans="5:19" x14ac:dyDescent="0.3">
      <c r="E80" s="217" t="s">
        <v>156</v>
      </c>
      <c r="F80"/>
      <c r="G80" s="226">
        <f>SUM([1]Calcs!AN106:AW107)</f>
        <v>0</v>
      </c>
      <c r="H80" s="227">
        <f t="shared" si="31"/>
        <v>0</v>
      </c>
      <c r="I80" s="228">
        <v>0</v>
      </c>
      <c r="J80"/>
      <c r="K80"/>
      <c r="L80"/>
      <c r="M80"/>
      <c r="N80" s="229">
        <f t="shared" ref="N80:N82" si="32">O79+1</f>
        <v>500000</v>
      </c>
      <c r="O80" s="229">
        <v>1499999</v>
      </c>
      <c r="P80" s="230">
        <v>0.2</v>
      </c>
      <c r="Q80" s="219"/>
    </row>
    <row r="81" spans="3:17" x14ac:dyDescent="0.3">
      <c r="E81" s="217" t="s">
        <v>157</v>
      </c>
      <c r="F81"/>
      <c r="G81" s="226">
        <f>SUM([1]Calcs!AN98:AW98)</f>
        <v>0</v>
      </c>
      <c r="H81" s="227">
        <f t="shared" si="31"/>
        <v>0</v>
      </c>
      <c r="I81" s="228">
        <v>0</v>
      </c>
      <c r="J81"/>
      <c r="K81"/>
      <c r="L81"/>
      <c r="M81"/>
      <c r="N81" s="229">
        <f t="shared" si="32"/>
        <v>1500000</v>
      </c>
      <c r="O81" s="229">
        <v>2999999</v>
      </c>
      <c r="P81" s="230">
        <v>0.25</v>
      </c>
      <c r="Q81" s="219"/>
    </row>
    <row r="82" spans="3:17" x14ac:dyDescent="0.3">
      <c r="E82" s="217" t="s">
        <v>158</v>
      </c>
      <c r="F82"/>
      <c r="G82" s="226">
        <f>SUM([1]Calcs!AN99:AW99)</f>
        <v>0</v>
      </c>
      <c r="H82" s="227">
        <f t="shared" si="31"/>
        <v>0</v>
      </c>
      <c r="I82" s="228">
        <v>0</v>
      </c>
      <c r="J82"/>
      <c r="K82"/>
      <c r="L82"/>
      <c r="M82"/>
      <c r="N82" s="229">
        <f t="shared" si="32"/>
        <v>3000000</v>
      </c>
      <c r="O82" s="226" t="s">
        <v>159</v>
      </c>
      <c r="P82" s="230">
        <v>0.3</v>
      </c>
      <c r="Q82" s="219"/>
    </row>
    <row r="83" spans="3:17" x14ac:dyDescent="0.3">
      <c r="E83" s="217" t="s">
        <v>160</v>
      </c>
      <c r="F83"/>
      <c r="G83" s="226">
        <f>SUM([1]Calcs!AN100:AW101)</f>
        <v>0</v>
      </c>
      <c r="H83" s="227">
        <f t="shared" si="31"/>
        <v>0</v>
      </c>
      <c r="I83" s="228">
        <v>0</v>
      </c>
      <c r="J83"/>
      <c r="K83"/>
      <c r="L83"/>
      <c r="M83"/>
      <c r="N83"/>
      <c r="O83"/>
      <c r="P83"/>
      <c r="Q83" s="219"/>
    </row>
    <row r="84" spans="3:17" x14ac:dyDescent="0.3">
      <c r="E84" s="217" t="s">
        <v>161</v>
      </c>
      <c r="F84"/>
      <c r="G84" s="226">
        <f>SUM([1]Calcs!AN92:AW92)</f>
        <v>693769.99999999988</v>
      </c>
      <c r="H84" s="227">
        <f t="shared" si="31"/>
        <v>1</v>
      </c>
      <c r="I84" s="228">
        <v>0</v>
      </c>
      <c r="J84"/>
      <c r="K84"/>
      <c r="L84"/>
      <c r="M84"/>
      <c r="N84"/>
      <c r="O84"/>
      <c r="P84"/>
      <c r="Q84" s="219"/>
    </row>
    <row r="85" spans="3:17" x14ac:dyDescent="0.3">
      <c r="E85" s="217" t="s">
        <v>162</v>
      </c>
      <c r="F85"/>
      <c r="G85" s="226">
        <f>SUM([1]Calcs!AN93:AW93)</f>
        <v>0</v>
      </c>
      <c r="H85" s="227">
        <f t="shared" si="31"/>
        <v>0</v>
      </c>
      <c r="I85" s="228">
        <v>0</v>
      </c>
      <c r="J85"/>
      <c r="K85"/>
      <c r="L85"/>
      <c r="M85"/>
      <c r="N85" s="218" t="s">
        <v>163</v>
      </c>
      <c r="O85" s="218"/>
      <c r="P85" s="218"/>
      <c r="Q85" s="219"/>
    </row>
    <row r="86" spans="3:17" ht="26.1" customHeight="1" x14ac:dyDescent="0.3">
      <c r="E86" s="217" t="s">
        <v>164</v>
      </c>
      <c r="F86"/>
      <c r="G86" s="226">
        <f>SUM([1]Calcs!AN94:AW95)</f>
        <v>0</v>
      </c>
      <c r="H86" s="227">
        <f t="shared" si="31"/>
        <v>0</v>
      </c>
      <c r="I86" s="228">
        <v>0</v>
      </c>
      <c r="J86"/>
      <c r="K86"/>
      <c r="L86"/>
      <c r="M86"/>
      <c r="N86" s="231" t="s">
        <v>165</v>
      </c>
      <c r="O86" s="231" t="s">
        <v>166</v>
      </c>
      <c r="P86" s="225" t="s">
        <v>167</v>
      </c>
      <c r="Q86" s="219"/>
    </row>
    <row r="87" spans="3:17" x14ac:dyDescent="0.3">
      <c r="E87" s="217"/>
      <c r="F87"/>
      <c r="G87"/>
      <c r="H87"/>
      <c r="I87"/>
      <c r="J87"/>
      <c r="K87"/>
      <c r="L87" s="229"/>
      <c r="M87"/>
      <c r="N87" s="229">
        <v>0</v>
      </c>
      <c r="O87" s="229">
        <v>500000</v>
      </c>
      <c r="P87" s="232">
        <v>0</v>
      </c>
      <c r="Q87" s="219"/>
    </row>
    <row r="88" spans="3:17" x14ac:dyDescent="0.3">
      <c r="E88" s="217"/>
      <c r="F88"/>
      <c r="G88"/>
      <c r="H88"/>
      <c r="I88"/>
      <c r="J88"/>
      <c r="K88"/>
      <c r="L88"/>
      <c r="M88"/>
      <c r="N88" s="229">
        <f>O87+1</f>
        <v>500001</v>
      </c>
      <c r="O88" s="229">
        <v>1500000</v>
      </c>
      <c r="P88" s="232">
        <v>0.1</v>
      </c>
      <c r="Q88" s="219"/>
    </row>
    <row r="89" spans="3:17" x14ac:dyDescent="0.3">
      <c r="E89" s="217"/>
      <c r="F89"/>
      <c r="G89"/>
      <c r="H89"/>
      <c r="I89"/>
      <c r="J89"/>
      <c r="K89"/>
      <c r="L89" s="233"/>
      <c r="M89"/>
      <c r="N89" s="229">
        <f t="shared" ref="N89:N91" si="33">O88+1</f>
        <v>1500001</v>
      </c>
      <c r="O89" s="229">
        <v>3000000</v>
      </c>
      <c r="P89" s="232">
        <v>0.125</v>
      </c>
      <c r="Q89" s="219"/>
    </row>
    <row r="90" spans="3:17" x14ac:dyDescent="0.3">
      <c r="C90" s="78"/>
      <c r="E90" s="217"/>
      <c r="F90"/>
      <c r="G90"/>
      <c r="H90"/>
      <c r="I90"/>
      <c r="J90"/>
      <c r="K90"/>
      <c r="L90"/>
      <c r="M90"/>
      <c r="N90" s="229">
        <f t="shared" si="33"/>
        <v>3000001</v>
      </c>
      <c r="O90" s="229">
        <v>5000000</v>
      </c>
      <c r="P90" s="232">
        <v>0.15</v>
      </c>
      <c r="Q90" s="219"/>
    </row>
    <row r="91" spans="3:17" x14ac:dyDescent="0.3">
      <c r="C91" s="78"/>
      <c r="E91" s="217"/>
      <c r="F91"/>
      <c r="G91"/>
      <c r="H91"/>
      <c r="I91"/>
      <c r="J91"/>
      <c r="K91"/>
      <c r="L91"/>
      <c r="M91"/>
      <c r="N91" s="229">
        <f t="shared" si="33"/>
        <v>5000001</v>
      </c>
      <c r="O91" s="229">
        <v>50000000</v>
      </c>
      <c r="P91" s="232">
        <v>0.2</v>
      </c>
      <c r="Q91" s="219"/>
    </row>
    <row r="92" spans="3:17" x14ac:dyDescent="0.3">
      <c r="C92" s="78"/>
      <c r="E92" s="217"/>
      <c r="F92"/>
      <c r="G92"/>
      <c r="H92"/>
      <c r="I92"/>
      <c r="J92"/>
      <c r="K92"/>
      <c r="L92"/>
      <c r="M92"/>
      <c r="N92" s="229"/>
      <c r="O92" s="229"/>
      <c r="P92" s="229"/>
      <c r="Q92" s="219"/>
    </row>
    <row r="93" spans="3:17" x14ac:dyDescent="0.3">
      <c r="E93" s="217"/>
      <c r="F93"/>
      <c r="G93"/>
      <c r="H93"/>
      <c r="I93"/>
      <c r="J93"/>
      <c r="K93"/>
      <c r="L93"/>
      <c r="M93"/>
      <c r="N93"/>
      <c r="O93"/>
      <c r="P93"/>
      <c r="Q93" s="219"/>
    </row>
    <row r="94" spans="3:17" x14ac:dyDescent="0.3">
      <c r="E94" s="217"/>
      <c r="F94"/>
      <c r="G94"/>
      <c r="H94"/>
      <c r="I94"/>
      <c r="J94"/>
      <c r="K94"/>
      <c r="L94"/>
      <c r="M94"/>
      <c r="N94"/>
      <c r="O94"/>
      <c r="P94"/>
      <c r="Q94" s="219"/>
    </row>
    <row r="95" spans="3:17" x14ac:dyDescent="0.3">
      <c r="E95" s="217"/>
      <c r="F95"/>
      <c r="G95"/>
      <c r="H95"/>
      <c r="I95"/>
      <c r="J95"/>
      <c r="K95"/>
      <c r="L95"/>
      <c r="M95"/>
      <c r="N95" s="229"/>
      <c r="O95" s="229"/>
      <c r="P95" s="229"/>
      <c r="Q95" s="219"/>
    </row>
    <row r="96" spans="3:17" x14ac:dyDescent="0.3">
      <c r="E96" s="217"/>
      <c r="F96"/>
      <c r="G96"/>
      <c r="H96"/>
      <c r="I96"/>
      <c r="J96"/>
      <c r="K96"/>
      <c r="L96"/>
      <c r="M96"/>
      <c r="N96"/>
      <c r="O96"/>
      <c r="P96"/>
      <c r="Q96" s="219"/>
    </row>
    <row r="97" spans="5:17" ht="18" hidden="1" outlineLevel="1" x14ac:dyDescent="0.35">
      <c r="E97" s="234" t="s">
        <v>168</v>
      </c>
      <c r="F97" s="235"/>
      <c r="G97"/>
      <c r="H97"/>
      <c r="I97"/>
      <c r="J97"/>
      <c r="K97"/>
      <c r="L97"/>
      <c r="M97"/>
      <c r="N97"/>
      <c r="O97"/>
      <c r="P97"/>
      <c r="Q97" s="219"/>
    </row>
    <row r="98" spans="5:17" hidden="1" outlineLevel="1" x14ac:dyDescent="0.3">
      <c r="E98" s="217" t="s">
        <v>169</v>
      </c>
      <c r="F98"/>
      <c r="G98" s="229">
        <f>Inputs!E30+Inputs!E43+Inputs!E29+Inputs!E42</f>
        <v>0</v>
      </c>
      <c r="H98" s="229">
        <f>Inputs!F30+Inputs!F43+Inputs!F29+Inputs!F42</f>
        <v>0</v>
      </c>
      <c r="I98" s="229">
        <f>Inputs!G30+Inputs!G43+Inputs!G29+Inputs!G42</f>
        <v>0</v>
      </c>
      <c r="J98" s="229">
        <f>Inputs!H30+Inputs!H43+Inputs!H29+Inputs!H42</f>
        <v>0</v>
      </c>
      <c r="K98" s="229">
        <f>Inputs!I30+Inputs!I43+Inputs!I29+Inputs!I42</f>
        <v>0</v>
      </c>
      <c r="L98" s="229">
        <f>Inputs!J30+Inputs!J43+Inputs!J29+Inputs!J42</f>
        <v>0</v>
      </c>
      <c r="M98" s="229">
        <f>Inputs!K30+Inputs!K43+Inputs!K29+Inputs!K42</f>
        <v>0</v>
      </c>
      <c r="N98" s="229">
        <f>Inputs!L30+Inputs!L43+Inputs!L29+Inputs!L42</f>
        <v>0</v>
      </c>
      <c r="O98" s="229">
        <f>Inputs!M30+Inputs!M43+Inputs!M29+Inputs!M42</f>
        <v>0</v>
      </c>
      <c r="P98" s="229">
        <f>Inputs!N30+Inputs!N43+Inputs!N29+Inputs!N42</f>
        <v>0</v>
      </c>
      <c r="Q98" s="219"/>
    </row>
    <row r="99" spans="5:17" hidden="1" outlineLevel="1" x14ac:dyDescent="0.3">
      <c r="E99" s="217" t="s">
        <v>170</v>
      </c>
      <c r="F99"/>
      <c r="G99" s="229">
        <f>Inputs!E23+Inputs!E24+Inputs!E36+Inputs!E37</f>
        <v>0</v>
      </c>
      <c r="H99" s="229">
        <f>Inputs!F23+Inputs!F24+Inputs!F36+Inputs!F37</f>
        <v>0</v>
      </c>
      <c r="I99" s="229">
        <f>Inputs!G23+Inputs!G24+Inputs!G36+Inputs!G37</f>
        <v>0</v>
      </c>
      <c r="J99" s="229">
        <f>Inputs!H23+Inputs!H24+Inputs!H36+Inputs!H37</f>
        <v>0</v>
      </c>
      <c r="K99" s="229">
        <f>Inputs!I23+Inputs!I24+Inputs!I36+Inputs!I37</f>
        <v>0</v>
      </c>
      <c r="L99" s="229">
        <f>Inputs!J23+Inputs!J24+Inputs!J36+Inputs!J37</f>
        <v>0</v>
      </c>
      <c r="M99" s="229">
        <f>Inputs!K23+Inputs!K24+Inputs!K36+Inputs!K37</f>
        <v>0</v>
      </c>
      <c r="N99" s="229">
        <f>Inputs!L23+Inputs!L24+Inputs!L36+Inputs!L37</f>
        <v>0</v>
      </c>
      <c r="O99" s="229">
        <f>Inputs!M23+Inputs!M24+Inputs!M36+Inputs!M37</f>
        <v>0</v>
      </c>
      <c r="P99" s="229">
        <f>Inputs!N23+Inputs!N24+Inputs!N36+Inputs!N37</f>
        <v>0</v>
      </c>
      <c r="Q99" s="219"/>
    </row>
    <row r="100" spans="5:17" hidden="1" outlineLevel="1" x14ac:dyDescent="0.3">
      <c r="E100" s="217" t="s">
        <v>171</v>
      </c>
      <c r="F100"/>
      <c r="G100" s="227">
        <f t="shared" ref="G100:P100" si="34">VLOOKUP(G98,$N$78:$P$83,3,1)</f>
        <v>0</v>
      </c>
      <c r="H100" s="227">
        <f t="shared" si="34"/>
        <v>0</v>
      </c>
      <c r="I100" s="227">
        <f t="shared" si="34"/>
        <v>0</v>
      </c>
      <c r="J100" s="227">
        <f t="shared" si="34"/>
        <v>0</v>
      </c>
      <c r="K100" s="227">
        <f t="shared" si="34"/>
        <v>0</v>
      </c>
      <c r="L100" s="227">
        <f t="shared" si="34"/>
        <v>0</v>
      </c>
      <c r="M100" s="227">
        <f t="shared" si="34"/>
        <v>0</v>
      </c>
      <c r="N100" s="227">
        <f t="shared" si="34"/>
        <v>0</v>
      </c>
      <c r="O100" s="227">
        <f t="shared" si="34"/>
        <v>0</v>
      </c>
      <c r="P100" s="227">
        <f t="shared" si="34"/>
        <v>0</v>
      </c>
      <c r="Q100" s="219"/>
    </row>
    <row r="101" spans="5:17" hidden="1" outlineLevel="1" x14ac:dyDescent="0.3">
      <c r="E101" s="217" t="s">
        <v>172</v>
      </c>
      <c r="F101"/>
      <c r="G101" s="233">
        <f t="shared" ref="G101:P101" si="35">-G100*G25</f>
        <v>0</v>
      </c>
      <c r="H101" s="233">
        <f t="shared" si="35"/>
        <v>0</v>
      </c>
      <c r="I101" s="233">
        <f t="shared" si="35"/>
        <v>0</v>
      </c>
      <c r="J101" s="233">
        <f t="shared" si="35"/>
        <v>0</v>
      </c>
      <c r="K101" s="233">
        <f t="shared" si="35"/>
        <v>0</v>
      </c>
      <c r="L101" s="233">
        <f t="shared" si="35"/>
        <v>0</v>
      </c>
      <c r="M101" s="233">
        <f t="shared" si="35"/>
        <v>0</v>
      </c>
      <c r="N101" s="233">
        <f t="shared" si="35"/>
        <v>0</v>
      </c>
      <c r="O101" s="233">
        <f t="shared" si="35"/>
        <v>0</v>
      </c>
      <c r="P101" s="233">
        <f t="shared" si="35"/>
        <v>0</v>
      </c>
      <c r="Q101" s="219"/>
    </row>
    <row r="102" spans="5:17" hidden="1" outlineLevel="1" x14ac:dyDescent="0.3">
      <c r="E102" s="217"/>
      <c r="F102"/>
      <c r="G102"/>
      <c r="H102"/>
      <c r="I102"/>
      <c r="J102"/>
      <c r="K102"/>
      <c r="L102"/>
      <c r="M102"/>
      <c r="N102"/>
      <c r="O102"/>
      <c r="P102"/>
      <c r="Q102" s="219"/>
    </row>
    <row r="103" spans="5:17" hidden="1" outlineLevel="1" x14ac:dyDescent="0.3">
      <c r="E103" s="217" t="s">
        <v>173</v>
      </c>
      <c r="F103"/>
      <c r="G103" s="229">
        <f>Inputs!E27+Inputs!E28+Inputs!E40+Inputs!E41</f>
        <v>0</v>
      </c>
      <c r="H103" s="229">
        <f>Inputs!F27+Inputs!F28+Inputs!F40+Inputs!F41</f>
        <v>0</v>
      </c>
      <c r="I103" s="229">
        <f>Inputs!G27+Inputs!G28+Inputs!G40+Inputs!G41</f>
        <v>0</v>
      </c>
      <c r="J103" s="229">
        <f>Inputs!H27+Inputs!H28+Inputs!H40+Inputs!H41</f>
        <v>0</v>
      </c>
      <c r="K103" s="229">
        <f>Inputs!I27+Inputs!I28+Inputs!I40+Inputs!I41</f>
        <v>0</v>
      </c>
      <c r="L103" s="229">
        <f>Inputs!J27+Inputs!J28+Inputs!J40+Inputs!J41</f>
        <v>0</v>
      </c>
      <c r="M103" s="229">
        <f>Inputs!K27+Inputs!K28+Inputs!K40+Inputs!K41</f>
        <v>0</v>
      </c>
      <c r="N103" s="229">
        <f>Inputs!L27+Inputs!L28+Inputs!L40+Inputs!L41</f>
        <v>0</v>
      </c>
      <c r="O103" s="229">
        <f>Inputs!M27+Inputs!M28+Inputs!M40+Inputs!M41</f>
        <v>0</v>
      </c>
      <c r="P103" s="229">
        <f>Inputs!N27+Inputs!N28+Inputs!N40+Inputs!N41</f>
        <v>0</v>
      </c>
      <c r="Q103" s="219"/>
    </row>
    <row r="104" spans="5:17" hidden="1" outlineLevel="1" x14ac:dyDescent="0.3">
      <c r="E104" s="217" t="s">
        <v>174</v>
      </c>
      <c r="F104"/>
      <c r="G104" s="236">
        <f t="shared" ref="G104:P104" si="36">VLOOKUP(G103,$N$87:$P$91,3,1)</f>
        <v>0</v>
      </c>
      <c r="H104" s="236">
        <f t="shared" si="36"/>
        <v>0</v>
      </c>
      <c r="I104" s="236">
        <f t="shared" si="36"/>
        <v>0</v>
      </c>
      <c r="J104" s="236">
        <f t="shared" si="36"/>
        <v>0</v>
      </c>
      <c r="K104" s="236">
        <f t="shared" si="36"/>
        <v>0</v>
      </c>
      <c r="L104" s="236">
        <f t="shared" si="36"/>
        <v>0</v>
      </c>
      <c r="M104" s="236">
        <f t="shared" si="36"/>
        <v>0</v>
      </c>
      <c r="N104" s="236">
        <f t="shared" si="36"/>
        <v>0</v>
      </c>
      <c r="O104" s="236">
        <f t="shared" si="36"/>
        <v>0</v>
      </c>
      <c r="P104" s="236">
        <f t="shared" si="36"/>
        <v>0</v>
      </c>
      <c r="Q104" s="219"/>
    </row>
    <row r="105" spans="5:17" hidden="1" outlineLevel="1" x14ac:dyDescent="0.3">
      <c r="E105" s="217" t="s">
        <v>175</v>
      </c>
      <c r="F105"/>
      <c r="G105" s="233">
        <f>-G104*SUM([1]Calcs!AN98:AN99,[1]Calcs!AN104:AN105)</f>
        <v>0</v>
      </c>
      <c r="H105" s="233">
        <f>-H104*SUM([1]Calcs!AO98:AO99,[1]Calcs!AO104:AO105)</f>
        <v>0</v>
      </c>
      <c r="I105" s="233">
        <f>-I104*SUM([1]Calcs!AP98:AP99,[1]Calcs!AP104:AP105)</f>
        <v>0</v>
      </c>
      <c r="J105" s="233">
        <f>-J104*SUM([1]Calcs!AQ98:AQ99,[1]Calcs!AQ104:AQ105)</f>
        <v>0</v>
      </c>
      <c r="K105" s="233">
        <f>-K104*SUM([1]Calcs!AR98:AR99,[1]Calcs!AR104:AR105)</f>
        <v>0</v>
      </c>
      <c r="L105" s="233">
        <f>-L104*SUM([1]Calcs!AS98:AS99,[1]Calcs!AS104:AS105)</f>
        <v>0</v>
      </c>
      <c r="M105" s="233">
        <f>-M104*SUM([1]Calcs!AT98:AT99,[1]Calcs!AT104:AT105)</f>
        <v>0</v>
      </c>
      <c r="N105" s="233">
        <f>-N104*SUM([1]Calcs!AU98:AU99,[1]Calcs!AU104:AU105)</f>
        <v>0</v>
      </c>
      <c r="O105" s="233">
        <f>-O104*SUM([1]Calcs!AV98:AV99,[1]Calcs!AV104:AV105)</f>
        <v>0</v>
      </c>
      <c r="P105" s="233">
        <f>-P104*SUM([1]Calcs!AW98:AW99,[1]Calcs!AW104:AW105)</f>
        <v>0</v>
      </c>
      <c r="Q105" s="219"/>
    </row>
    <row r="106" spans="5:17" hidden="1" outlineLevel="1" x14ac:dyDescent="0.3">
      <c r="E106" s="217"/>
      <c r="F106"/>
      <c r="G106"/>
      <c r="H106"/>
      <c r="I106"/>
      <c r="J106"/>
      <c r="K106"/>
      <c r="L106"/>
      <c r="M106"/>
      <c r="N106"/>
      <c r="O106"/>
      <c r="P106"/>
      <c r="Q106" s="219"/>
    </row>
    <row r="107" spans="5:17" hidden="1" outlineLevel="1" x14ac:dyDescent="0.3">
      <c r="E107" s="217"/>
      <c r="F107"/>
      <c r="G107" s="229"/>
      <c r="H107" s="229"/>
      <c r="I107" s="229"/>
      <c r="J107" s="229"/>
      <c r="K107" s="229"/>
      <c r="L107" s="229"/>
      <c r="M107" s="229"/>
      <c r="N107" s="229"/>
      <c r="O107" s="229"/>
      <c r="P107" s="229"/>
      <c r="Q107" s="219"/>
    </row>
    <row r="108" spans="5:17" hidden="1" outlineLevel="1" x14ac:dyDescent="0.3">
      <c r="E108" s="217" t="s">
        <v>176</v>
      </c>
      <c r="F108"/>
      <c r="G108"/>
      <c r="H108"/>
      <c r="I108"/>
      <c r="J108"/>
      <c r="K108"/>
      <c r="L108"/>
      <c r="M108"/>
      <c r="N108"/>
      <c r="O108"/>
      <c r="P108"/>
      <c r="Q108" s="219"/>
    </row>
    <row r="109" spans="5:17" hidden="1" outlineLevel="1" x14ac:dyDescent="0.3">
      <c r="E109" s="217" t="s">
        <v>58</v>
      </c>
      <c r="F109"/>
      <c r="G109" s="229">
        <f>-SUM([1]Calcs!AN102,[1]Calcs!AN108)*'P&amp;L'!$G$2</f>
        <v>0</v>
      </c>
      <c r="H109" s="229">
        <f>-SUM([1]Calcs!AO102,[1]Calcs!AO108)*'P&amp;L'!$G$2</f>
        <v>0</v>
      </c>
      <c r="I109" s="229">
        <f>-SUM([1]Calcs!AP102,[1]Calcs!AP108)*'P&amp;L'!$G$2</f>
        <v>0</v>
      </c>
      <c r="J109" s="229">
        <f>-SUM([1]Calcs!AQ102,[1]Calcs!AQ108)*'P&amp;L'!$G$2</f>
        <v>0</v>
      </c>
      <c r="K109" s="229">
        <f>-SUM([1]Calcs!AR102,[1]Calcs!AR108)*'P&amp;L'!$G$2</f>
        <v>0</v>
      </c>
      <c r="L109" s="229">
        <f>-SUM([1]Calcs!AS102,[1]Calcs!AS108)*'P&amp;L'!$G$2</f>
        <v>0</v>
      </c>
      <c r="M109" s="229">
        <f>-SUM([1]Calcs!AT102,[1]Calcs!AT108)*'P&amp;L'!$G$2</f>
        <v>0</v>
      </c>
      <c r="N109" s="229">
        <f>-SUM([1]Calcs!AU102,[1]Calcs!AU108)*'P&amp;L'!$G$2</f>
        <v>0</v>
      </c>
      <c r="O109" s="229">
        <f>-SUM([1]Calcs!AV102,[1]Calcs!AV108)*'P&amp;L'!$G$2</f>
        <v>0</v>
      </c>
      <c r="P109" s="229">
        <f>-SUM([1]Calcs!AW102,[1]Calcs!AW108)*'P&amp;L'!$G$2</f>
        <v>0</v>
      </c>
      <c r="Q109" s="219"/>
    </row>
    <row r="110" spans="5:17" hidden="1" outlineLevel="1" x14ac:dyDescent="0.3">
      <c r="E110" s="217" t="s">
        <v>177</v>
      </c>
      <c r="F110"/>
      <c r="G110" s="233">
        <f>G101</f>
        <v>0</v>
      </c>
      <c r="H110" s="233">
        <f t="shared" ref="H110:P110" si="37">H101</f>
        <v>0</v>
      </c>
      <c r="I110" s="233">
        <f t="shared" si="37"/>
        <v>0</v>
      </c>
      <c r="J110" s="233">
        <f t="shared" si="37"/>
        <v>0</v>
      </c>
      <c r="K110" s="233">
        <f t="shared" si="37"/>
        <v>0</v>
      </c>
      <c r="L110" s="233">
        <f t="shared" si="37"/>
        <v>0</v>
      </c>
      <c r="M110" s="233">
        <f t="shared" si="37"/>
        <v>0</v>
      </c>
      <c r="N110" s="233">
        <f t="shared" si="37"/>
        <v>0</v>
      </c>
      <c r="O110" s="233">
        <f t="shared" si="37"/>
        <v>0</v>
      </c>
      <c r="P110" s="233">
        <f t="shared" si="37"/>
        <v>0</v>
      </c>
      <c r="Q110" s="219"/>
    </row>
    <row r="111" spans="5:17" hidden="1" outlineLevel="1" x14ac:dyDescent="0.3">
      <c r="E111" s="217" t="s">
        <v>178</v>
      </c>
      <c r="F111"/>
      <c r="G111" s="229">
        <f>G105+G101</f>
        <v>0</v>
      </c>
      <c r="H111" s="229">
        <f t="shared" ref="H111:P111" si="38">H105+H101</f>
        <v>0</v>
      </c>
      <c r="I111" s="229">
        <f t="shared" si="38"/>
        <v>0</v>
      </c>
      <c r="J111" s="229">
        <f t="shared" si="38"/>
        <v>0</v>
      </c>
      <c r="K111" s="229">
        <f t="shared" si="38"/>
        <v>0</v>
      </c>
      <c r="L111" s="229">
        <f t="shared" si="38"/>
        <v>0</v>
      </c>
      <c r="M111" s="229">
        <f t="shared" si="38"/>
        <v>0</v>
      </c>
      <c r="N111" s="229">
        <f t="shared" si="38"/>
        <v>0</v>
      </c>
      <c r="O111" s="229">
        <f t="shared" si="38"/>
        <v>0</v>
      </c>
      <c r="P111" s="229">
        <f t="shared" si="38"/>
        <v>0</v>
      </c>
      <c r="Q111" s="219"/>
    </row>
    <row r="112" spans="5:17" hidden="1" outlineLevel="1" x14ac:dyDescent="0.3">
      <c r="E112" s="217"/>
      <c r="F112"/>
      <c r="G112"/>
      <c r="H112"/>
      <c r="I112"/>
      <c r="J112"/>
      <c r="K112"/>
      <c r="L112"/>
      <c r="M112"/>
      <c r="N112"/>
      <c r="O112"/>
      <c r="P112"/>
      <c r="Q112" s="219"/>
    </row>
    <row r="113" spans="5:17" hidden="1" outlineLevel="1" x14ac:dyDescent="0.3">
      <c r="E113" s="217"/>
      <c r="F113"/>
      <c r="G113"/>
      <c r="H113"/>
      <c r="I113"/>
      <c r="J113"/>
      <c r="K113"/>
      <c r="L113"/>
      <c r="M113"/>
      <c r="N113"/>
      <c r="O113"/>
      <c r="P113"/>
      <c r="Q113" s="219"/>
    </row>
    <row r="114" spans="5:17" hidden="1" outlineLevel="1" x14ac:dyDescent="0.3">
      <c r="E114" s="217"/>
      <c r="F114"/>
      <c r="G114"/>
      <c r="H114"/>
      <c r="I114"/>
      <c r="J114"/>
      <c r="K114"/>
      <c r="L114"/>
      <c r="M114"/>
      <c r="N114"/>
      <c r="O114"/>
      <c r="P114"/>
      <c r="Q114" s="219"/>
    </row>
    <row r="115" spans="5:17" hidden="1" outlineLevel="1" x14ac:dyDescent="0.3">
      <c r="E115" s="217" t="s">
        <v>179</v>
      </c>
      <c r="F115"/>
      <c r="G115">
        <v>3</v>
      </c>
      <c r="H115">
        <v>4</v>
      </c>
      <c r="I115">
        <v>5</v>
      </c>
      <c r="J115">
        <v>6</v>
      </c>
      <c r="K115">
        <v>7</v>
      </c>
      <c r="L115">
        <v>8</v>
      </c>
      <c r="M115">
        <v>9</v>
      </c>
      <c r="N115">
        <v>10</v>
      </c>
      <c r="O115">
        <v>11</v>
      </c>
      <c r="P115">
        <v>12</v>
      </c>
      <c r="Q115" s="219"/>
    </row>
    <row r="116" spans="5:17" hidden="1" outlineLevel="1" x14ac:dyDescent="0.3">
      <c r="E116" s="217" t="s">
        <v>180</v>
      </c>
      <c r="F116"/>
      <c r="G116" s="229">
        <f t="shared" ref="G116:P116" si="39">VLOOKUP($F$2,$E$109:$P$111,G115,0)</f>
        <v>0</v>
      </c>
      <c r="H116" s="229">
        <f t="shared" si="39"/>
        <v>0</v>
      </c>
      <c r="I116" s="229">
        <f t="shared" si="39"/>
        <v>0</v>
      </c>
      <c r="J116" s="229">
        <f t="shared" si="39"/>
        <v>0</v>
      </c>
      <c r="K116" s="229">
        <f t="shared" si="39"/>
        <v>0</v>
      </c>
      <c r="L116" s="229">
        <f t="shared" si="39"/>
        <v>0</v>
      </c>
      <c r="M116" s="229">
        <f t="shared" si="39"/>
        <v>0</v>
      </c>
      <c r="N116" s="229">
        <f t="shared" si="39"/>
        <v>0</v>
      </c>
      <c r="O116" s="229">
        <f t="shared" si="39"/>
        <v>0</v>
      </c>
      <c r="P116" s="229">
        <f t="shared" si="39"/>
        <v>0</v>
      </c>
      <c r="Q116" s="219"/>
    </row>
    <row r="117" spans="5:17" hidden="1" outlineLevel="1" x14ac:dyDescent="0.3">
      <c r="E117" s="217" t="s">
        <v>181</v>
      </c>
      <c r="F117"/>
      <c r="G117" s="229">
        <f>G116-G118</f>
        <v>0</v>
      </c>
      <c r="H117" s="229">
        <f t="shared" ref="H117:P117" si="40">H116-H118</f>
        <v>0</v>
      </c>
      <c r="I117" s="229">
        <f t="shared" si="40"/>
        <v>0</v>
      </c>
      <c r="J117" s="229">
        <f t="shared" si="40"/>
        <v>0</v>
      </c>
      <c r="K117" s="229">
        <f t="shared" si="40"/>
        <v>0</v>
      </c>
      <c r="L117" s="229">
        <f t="shared" si="40"/>
        <v>0</v>
      </c>
      <c r="M117" s="229">
        <f t="shared" si="40"/>
        <v>0</v>
      </c>
      <c r="N117" s="229">
        <f t="shared" si="40"/>
        <v>0</v>
      </c>
      <c r="O117" s="229">
        <f t="shared" si="40"/>
        <v>0</v>
      </c>
      <c r="P117" s="229">
        <f t="shared" si="40"/>
        <v>0</v>
      </c>
      <c r="Q117" s="219"/>
    </row>
    <row r="118" spans="5:17" hidden="1" outlineLevel="1" x14ac:dyDescent="0.3">
      <c r="E118" s="217" t="s">
        <v>182</v>
      </c>
      <c r="F118"/>
      <c r="G118" s="229">
        <f t="shared" ref="G118:P118" si="41">IF($F$2=$E$109,-G25*$G$2,IF($F$2=$E$110,G101,G101))</f>
        <v>0</v>
      </c>
      <c r="H118" s="229">
        <f t="shared" si="41"/>
        <v>0</v>
      </c>
      <c r="I118" s="229">
        <f t="shared" si="41"/>
        <v>0</v>
      </c>
      <c r="J118" s="229">
        <f t="shared" si="41"/>
        <v>0</v>
      </c>
      <c r="K118" s="229">
        <f t="shared" si="41"/>
        <v>0</v>
      </c>
      <c r="L118" s="229">
        <f t="shared" si="41"/>
        <v>0</v>
      </c>
      <c r="M118" s="229">
        <f t="shared" si="41"/>
        <v>0</v>
      </c>
      <c r="N118" s="229">
        <f t="shared" si="41"/>
        <v>0</v>
      </c>
      <c r="O118" s="229">
        <f t="shared" si="41"/>
        <v>0</v>
      </c>
      <c r="P118" s="229">
        <f t="shared" si="41"/>
        <v>0</v>
      </c>
      <c r="Q118" s="219"/>
    </row>
    <row r="119" spans="5:17" collapsed="1" x14ac:dyDescent="0.3">
      <c r="E119" s="237"/>
      <c r="F119" s="238"/>
      <c r="G119" s="238"/>
      <c r="H119" s="238"/>
      <c r="I119" s="238"/>
      <c r="J119" s="238"/>
      <c r="K119" s="238"/>
      <c r="L119" s="238"/>
      <c r="M119" s="238"/>
      <c r="N119" s="238"/>
      <c r="O119" s="238"/>
      <c r="P119" s="238"/>
      <c r="Q119" s="239"/>
    </row>
  </sheetData>
  <sheetProtection algorithmName="SHA-512" hashValue="OhJqOZS/TXw0iZy9BdUjAHtNZiuZeS22fkPcSqMA8FLjyA5nQ6/6UT3K3Z6pQuPOi/Dwsr0mec3LHs6S7cmc4g==" saltValue="mZLiJnR45zGIB5SR7UD8Kw==" spinCount="100000" sheet="1" objects="1" scenarios="1"/>
  <mergeCells count="13">
    <mergeCell ref="N85:P85"/>
    <mergeCell ref="E33:E38"/>
    <mergeCell ref="B37:C37"/>
    <mergeCell ref="B38:C38"/>
    <mergeCell ref="B41:C41"/>
    <mergeCell ref="N75:P75"/>
    <mergeCell ref="N76:P76"/>
    <mergeCell ref="H2:I2"/>
    <mergeCell ref="J2:K2"/>
    <mergeCell ref="L2:M2"/>
    <mergeCell ref="E9:E16"/>
    <mergeCell ref="B14:C14"/>
    <mergeCell ref="E18:E32"/>
  </mergeCells>
  <conditionalFormatting sqref="C29">
    <cfRule type="cellIs" dxfId="18" priority="4" operator="greaterThan">
      <formula>0.35</formula>
    </cfRule>
  </conditionalFormatting>
  <conditionalFormatting sqref="G2">
    <cfRule type="expression" dxfId="17" priority="5">
      <formula>$F$2&lt;&gt;$E$109</formula>
    </cfRule>
    <cfRule type="expression" dxfId="16" priority="6">
      <formula>$G$2&gt;0.35</formula>
    </cfRule>
  </conditionalFormatting>
  <conditionalFormatting sqref="G34:P36">
    <cfRule type="cellIs" dxfId="15" priority="2" operator="greaterThan">
      <formula>0</formula>
    </cfRule>
  </conditionalFormatting>
  <conditionalFormatting sqref="G73:P73">
    <cfRule type="expression" dxfId="14" priority="1">
      <formula>G$58&lt;=$C$15</formula>
    </cfRule>
  </conditionalFormatting>
  <conditionalFormatting sqref="S73">
    <cfRule type="expression" dxfId="13" priority="3">
      <formula>$Q$73=0</formula>
    </cfRule>
  </conditionalFormatting>
  <dataValidations count="2">
    <dataValidation type="decimal" errorStyle="warning" operator="lessThan" allowBlank="1" showInputMessage="1" showErrorMessage="1" prompt="Input Incentives as Negative Amount" sqref="G34:P36" xr:uid="{F93687DF-1C8B-4EE9-B16F-AF08CB5B19C4}">
      <formula1>0</formula1>
    </dataValidation>
    <dataValidation type="list" allowBlank="1" showInputMessage="1" showErrorMessage="1" sqref="F2" xr:uid="{44F48BB3-72DF-4F40-808A-759B3298D006}">
      <formula1>Incentive_Options</formula1>
    </dataValidation>
  </dataValidations>
  <pageMargins left="0.7" right="0.7" top="0.75" bottom="0.75" header="0.3" footer="0.3"/>
  <pageSetup scale="49" orientation="landscape" r:id="rId1"/>
  <drawing r:id="rId2"/>
  <extLst>
    <ext xmlns:x14="http://schemas.microsoft.com/office/spreadsheetml/2009/9/main" uri="{78C0D931-6437-407d-A8EE-F0AAD7539E65}">
      <x14:conditionalFormattings>
        <x14:conditionalFormatting xmlns:xm="http://schemas.microsoft.com/office/excel/2006/main">
          <x14:cfRule type="expression" priority="7" id="{5FC824FB-A018-4A87-A05A-462337F221F8}">
            <xm:f>$G$34&lt;-500000/Inputs!$O$1</xm:f>
            <x14:dxf>
              <fill>
                <patternFill>
                  <bgColor rgb="FFFF0000"/>
                </patternFill>
              </fill>
            </x14:dxf>
          </x14:cfRule>
          <xm:sqref>G34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05AE5-4EE2-4A91-99C5-E8EBC6465824}">
  <sheetPr codeName="Sheet10"/>
  <dimension ref="A1:Y144"/>
  <sheetViews>
    <sheetView showGridLines="0" topLeftCell="C24" zoomScale="85" zoomScaleNormal="85" workbookViewId="0">
      <selection activeCell="S53" sqref="S53"/>
    </sheetView>
  </sheetViews>
  <sheetFormatPr defaultColWidth="8.6640625" defaultRowHeight="14.4" outlineLevelRow="1" outlineLevelCol="1" x14ac:dyDescent="0.3"/>
  <cols>
    <col min="1" max="1" width="38" style="78" hidden="1" customWidth="1" outlineLevel="1"/>
    <col min="2" max="2" width="17" style="78" hidden="1" customWidth="1" outlineLevel="1"/>
    <col min="3" max="3" width="2.5546875" style="78" customWidth="1" collapsed="1"/>
    <col min="4" max="4" width="17.88671875" style="78" customWidth="1"/>
    <col min="5" max="15" width="16.5546875" style="78" customWidth="1"/>
    <col min="16" max="16" width="16.5546875" style="78" hidden="1" customWidth="1" outlineLevel="1"/>
    <col min="17" max="17" width="2.44140625" style="78" customWidth="1" collapsed="1"/>
    <col min="18" max="21" width="24.5546875" style="78" customWidth="1"/>
    <col min="22" max="16384" width="8.6640625" style="78"/>
  </cols>
  <sheetData>
    <row r="1" spans="1:25" ht="18.600000000000001" customHeight="1" x14ac:dyDescent="0.3">
      <c r="A1" s="78" t="s">
        <v>183</v>
      </c>
      <c r="B1" s="78" t="s">
        <v>184</v>
      </c>
      <c r="D1" s="240" t="s">
        <v>185</v>
      </c>
      <c r="E1" s="240"/>
      <c r="F1" s="241" t="s">
        <v>186</v>
      </c>
      <c r="G1" s="242"/>
      <c r="H1" s="242"/>
      <c r="I1" s="243"/>
      <c r="J1" s="244" t="s">
        <v>187</v>
      </c>
      <c r="K1" s="245"/>
      <c r="L1" s="245"/>
      <c r="M1" s="246"/>
      <c r="N1" s="247" t="s">
        <v>188</v>
      </c>
      <c r="O1" s="248">
        <v>1.1134999999999999</v>
      </c>
      <c r="R1" s="249" t="s">
        <v>189</v>
      </c>
      <c r="S1" s="249"/>
    </row>
    <row r="2" spans="1:25" ht="18.600000000000001" customHeight="1" thickBot="1" x14ac:dyDescent="0.35">
      <c r="A2" s="78" t="s">
        <v>13</v>
      </c>
      <c r="B2" s="78" t="s">
        <v>190</v>
      </c>
      <c r="D2" s="240"/>
      <c r="E2" s="240"/>
      <c r="F2" s="250"/>
      <c r="G2" s="251"/>
      <c r="H2" s="251"/>
      <c r="I2" s="252"/>
      <c r="J2" s="253"/>
      <c r="K2" s="254"/>
      <c r="L2" s="254"/>
      <c r="M2" s="255"/>
      <c r="N2" s="247"/>
      <c r="O2" s="248"/>
      <c r="R2" s="249"/>
      <c r="S2" s="249"/>
    </row>
    <row r="3" spans="1:25" ht="39.9" customHeight="1" thickBot="1" x14ac:dyDescent="0.35">
      <c r="A3" s="78" t="s">
        <v>191</v>
      </c>
      <c r="D3" s="240"/>
      <c r="E3" s="240"/>
      <c r="F3" s="256" t="s">
        <v>192</v>
      </c>
      <c r="G3" s="257" t="str">
        <f>VLOOKUP(Intro!$E$3,[1]Metrics!$B$114:$D$156,3,0)</f>
        <v>UK</v>
      </c>
      <c r="H3" s="256" t="s">
        <v>193</v>
      </c>
      <c r="I3" s="258">
        <f>Intro!D18</f>
        <v>2</v>
      </c>
      <c r="N3" s="259" t="s">
        <v>194</v>
      </c>
      <c r="O3" s="260">
        <v>0.83252336448598097</v>
      </c>
      <c r="Q3" s="261"/>
      <c r="R3" s="249"/>
      <c r="S3" s="249"/>
      <c r="T3" s="261"/>
    </row>
    <row r="4" spans="1:25" ht="39.9" customHeight="1" thickBot="1" x14ac:dyDescent="0.35">
      <c r="A4" s="78" t="s">
        <v>195</v>
      </c>
      <c r="D4" s="240"/>
      <c r="E4" s="240"/>
      <c r="F4" s="262" t="s">
        <v>196</v>
      </c>
      <c r="G4" s="263" t="s">
        <v>197</v>
      </c>
      <c r="H4" s="264" t="s">
        <v>198</v>
      </c>
      <c r="I4" s="265" t="s">
        <v>199</v>
      </c>
      <c r="J4" s="266" t="s">
        <v>200</v>
      </c>
      <c r="N4" s="267"/>
      <c r="O4" s="268"/>
      <c r="P4" s="261"/>
      <c r="Q4" s="261"/>
      <c r="R4" s="249"/>
      <c r="S4" s="249"/>
      <c r="T4" s="261"/>
      <c r="W4" s="269"/>
      <c r="X4" s="269"/>
      <c r="Y4" s="269"/>
    </row>
    <row r="5" spans="1:25" ht="39.9" customHeight="1" thickBot="1" x14ac:dyDescent="0.35">
      <c r="A5" s="78" t="s">
        <v>201</v>
      </c>
      <c r="D5" s="240"/>
      <c r="E5" s="240"/>
      <c r="F5" s="262" t="str">
        <f>IF($G$4="Originator","Input Enabler Name","")</f>
        <v/>
      </c>
      <c r="G5" s="263" t="s">
        <v>202</v>
      </c>
      <c r="H5" s="264" t="s">
        <v>203</v>
      </c>
      <c r="I5" s="265" t="s">
        <v>204</v>
      </c>
      <c r="J5" s="266" t="s">
        <v>200</v>
      </c>
      <c r="K5" s="270"/>
      <c r="L5" s="271"/>
      <c r="P5" s="261"/>
      <c r="Q5" s="261"/>
      <c r="R5" s="249"/>
      <c r="S5" s="249"/>
      <c r="T5" s="261"/>
      <c r="V5" s="269"/>
      <c r="W5" s="269"/>
      <c r="X5" s="269"/>
      <c r="Y5" s="269"/>
    </row>
    <row r="6" spans="1:25" ht="14.4" customHeight="1" thickBot="1" x14ac:dyDescent="0.35">
      <c r="D6" s="272"/>
      <c r="E6" s="273"/>
      <c r="F6" s="273"/>
      <c r="G6" s="273"/>
      <c r="H6" s="274"/>
      <c r="I6" s="274"/>
      <c r="J6" s="274"/>
      <c r="P6" s="261"/>
      <c r="Q6" s="261"/>
      <c r="R6" s="249"/>
      <c r="S6" s="249"/>
      <c r="T6" s="261"/>
    </row>
    <row r="7" spans="1:25" ht="14.4" customHeight="1" x14ac:dyDescent="0.3">
      <c r="D7" s="275" t="s">
        <v>205</v>
      </c>
      <c r="E7" s="276" t="s">
        <v>206</v>
      </c>
      <c r="F7" s="277"/>
      <c r="G7" s="278"/>
      <c r="H7" s="279"/>
      <c r="I7" s="279"/>
      <c r="J7" s="279"/>
      <c r="L7" s="280"/>
      <c r="M7" s="280"/>
      <c r="P7" s="261"/>
      <c r="Q7" s="261"/>
      <c r="R7" s="249"/>
      <c r="S7" s="249"/>
      <c r="T7" s="261"/>
    </row>
    <row r="8" spans="1:25" ht="14.4" customHeight="1" thickBot="1" x14ac:dyDescent="0.35">
      <c r="C8" s="90"/>
      <c r="D8" s="281"/>
      <c r="E8" s="282" t="s">
        <v>207</v>
      </c>
      <c r="F8" s="283" t="s">
        <v>208</v>
      </c>
      <c r="G8" s="284" t="s">
        <v>209</v>
      </c>
      <c r="H8" s="285" t="s">
        <v>210</v>
      </c>
      <c r="I8" s="285" t="s">
        <v>211</v>
      </c>
      <c r="J8" s="285" t="s">
        <v>212</v>
      </c>
      <c r="L8" s="280"/>
      <c r="M8" s="280"/>
      <c r="P8" s="261"/>
      <c r="Q8" s="261"/>
      <c r="R8" s="249"/>
      <c r="S8" s="249"/>
      <c r="T8" s="261"/>
    </row>
    <row r="9" spans="1:25" ht="14.4" customHeight="1" x14ac:dyDescent="0.3">
      <c r="A9" s="197" t="str">
        <f>$G$3&amp;D9</f>
        <v>UKDOM</v>
      </c>
      <c r="C9" s="90"/>
      <c r="D9" s="286" t="s">
        <v>213</v>
      </c>
      <c r="E9" s="287"/>
      <c r="F9" s="288"/>
      <c r="G9" s="289">
        <v>160</v>
      </c>
      <c r="H9" s="64"/>
      <c r="I9" s="290"/>
      <c r="J9" s="291">
        <f>1-I9</f>
        <v>1</v>
      </c>
      <c r="L9" s="280"/>
      <c r="M9" s="280"/>
      <c r="P9" s="261"/>
      <c r="Q9" s="261"/>
      <c r="R9" s="249"/>
      <c r="S9" s="249"/>
      <c r="T9" s="261"/>
    </row>
    <row r="10" spans="1:25" ht="14.4" customHeight="1" x14ac:dyDescent="0.3">
      <c r="A10" s="197" t="str">
        <f>$G$3&amp;D10</f>
        <v>UKINTRA EEA</v>
      </c>
      <c r="C10" s="90"/>
      <c r="D10" s="286" t="s">
        <v>184</v>
      </c>
      <c r="E10" s="287"/>
      <c r="F10" s="288"/>
      <c r="G10" s="289"/>
      <c r="H10" s="291">
        <v>0.1</v>
      </c>
      <c r="I10" s="290"/>
      <c r="J10" s="291">
        <f t="shared" ref="J10:J12" si="0">1-I10</f>
        <v>1</v>
      </c>
      <c r="L10" s="280"/>
      <c r="M10" s="280"/>
      <c r="P10" s="261"/>
      <c r="Q10" s="261"/>
      <c r="R10" s="249"/>
      <c r="S10" s="249"/>
      <c r="T10" s="261"/>
    </row>
    <row r="11" spans="1:25" ht="14.4" customHeight="1" x14ac:dyDescent="0.3">
      <c r="A11" s="197" t="str">
        <f>$G$3&amp;D11</f>
        <v>UKINTRA Non-EEA</v>
      </c>
      <c r="D11" s="286" t="s">
        <v>214</v>
      </c>
      <c r="E11" s="287"/>
      <c r="F11" s="288"/>
      <c r="G11" s="289"/>
      <c r="H11" s="291">
        <v>0.65</v>
      </c>
      <c r="I11" s="290"/>
      <c r="J11" s="291">
        <f t="shared" si="0"/>
        <v>1</v>
      </c>
      <c r="L11" s="280"/>
      <c r="M11" s="280"/>
      <c r="P11" s="261"/>
      <c r="Q11" s="261"/>
      <c r="R11" s="249"/>
      <c r="S11" s="249"/>
      <c r="T11" s="261"/>
    </row>
    <row r="12" spans="1:25" ht="15" customHeight="1" thickBot="1" x14ac:dyDescent="0.35">
      <c r="A12" s="197" t="str">
        <f>$G$3&amp;D12</f>
        <v>UKINTER</v>
      </c>
      <c r="D12" s="292" t="s">
        <v>215</v>
      </c>
      <c r="E12" s="293"/>
      <c r="F12" s="294"/>
      <c r="G12" s="295"/>
      <c r="H12" s="296">
        <v>0.65</v>
      </c>
      <c r="I12" s="297"/>
      <c r="J12" s="296">
        <f t="shared" si="0"/>
        <v>1</v>
      </c>
      <c r="L12" s="280"/>
      <c r="M12" s="280"/>
      <c r="P12" s="261"/>
      <c r="Q12" s="261"/>
      <c r="R12" s="249"/>
      <c r="S12" s="249"/>
      <c r="T12" s="261"/>
    </row>
    <row r="13" spans="1:25" x14ac:dyDescent="0.3">
      <c r="D13" s="196"/>
      <c r="H13" s="196"/>
      <c r="R13" s="249"/>
      <c r="S13" s="249"/>
    </row>
    <row r="14" spans="1:25" hidden="1" outlineLevel="1" x14ac:dyDescent="0.3">
      <c r="D14" s="196"/>
    </row>
    <row r="15" spans="1:25" hidden="1" outlineLevel="1" x14ac:dyDescent="0.3">
      <c r="D15" s="196"/>
    </row>
    <row r="16" spans="1:25" ht="14.4" hidden="1" customHeight="1" outlineLevel="1" x14ac:dyDescent="0.3"/>
    <row r="17" spans="1:21" ht="31.5" customHeight="1" collapsed="1" x14ac:dyDescent="0.3">
      <c r="A17" s="298" t="s">
        <v>216</v>
      </c>
      <c r="B17" s="298"/>
      <c r="D17" s="299" t="s">
        <v>217</v>
      </c>
      <c r="E17" s="299"/>
      <c r="F17" s="299"/>
      <c r="G17" s="299"/>
      <c r="H17" s="299"/>
      <c r="I17" s="299"/>
      <c r="J17" s="299"/>
      <c r="K17" s="299"/>
      <c r="L17" s="299"/>
      <c r="M17" s="299"/>
      <c r="N17" s="299"/>
      <c r="O17" s="299"/>
      <c r="Q17" s="300"/>
      <c r="R17" s="300"/>
      <c r="S17" s="300"/>
    </row>
    <row r="18" spans="1:21" ht="15.6" hidden="1" customHeight="1" outlineLevel="1" x14ac:dyDescent="0.3">
      <c r="A18" s="298"/>
      <c r="B18" s="298"/>
      <c r="E18" s="78">
        <f t="shared" ref="E18:O18" si="1">IF(E19&lt;=$I$3,1,0)</f>
        <v>1</v>
      </c>
      <c r="F18" s="78">
        <f t="shared" si="1"/>
        <v>1</v>
      </c>
      <c r="G18" s="78">
        <f t="shared" si="1"/>
        <v>0</v>
      </c>
      <c r="H18" s="78">
        <f t="shared" si="1"/>
        <v>0</v>
      </c>
      <c r="I18" s="78">
        <f t="shared" si="1"/>
        <v>0</v>
      </c>
      <c r="J18" s="78">
        <f t="shared" si="1"/>
        <v>0</v>
      </c>
      <c r="K18" s="78">
        <f t="shared" si="1"/>
        <v>0</v>
      </c>
      <c r="L18" s="78">
        <f t="shared" si="1"/>
        <v>0</v>
      </c>
      <c r="M18" s="78">
        <f t="shared" si="1"/>
        <v>0</v>
      </c>
      <c r="N18" s="78">
        <f t="shared" si="1"/>
        <v>0</v>
      </c>
      <c r="O18" s="78">
        <f t="shared" si="1"/>
        <v>0</v>
      </c>
    </row>
    <row r="19" spans="1:21" collapsed="1" x14ac:dyDescent="0.3">
      <c r="A19" s="301"/>
      <c r="B19" s="301"/>
      <c r="D19" s="302" t="s">
        <v>207</v>
      </c>
      <c r="E19" s="303">
        <v>1</v>
      </c>
      <c r="F19" s="303">
        <v>2</v>
      </c>
      <c r="G19" s="303">
        <v>3</v>
      </c>
      <c r="H19" s="303">
        <v>4</v>
      </c>
      <c r="I19" s="303">
        <v>5</v>
      </c>
      <c r="J19" s="303">
        <v>6</v>
      </c>
      <c r="K19" s="303">
        <v>7</v>
      </c>
      <c r="L19" s="303">
        <v>8</v>
      </c>
      <c r="M19" s="303">
        <v>9</v>
      </c>
      <c r="N19" s="303">
        <v>10</v>
      </c>
      <c r="O19" s="303" t="s">
        <v>218</v>
      </c>
    </row>
    <row r="20" spans="1:21" x14ac:dyDescent="0.3">
      <c r="A20" s="301"/>
      <c r="B20" s="301"/>
      <c r="D20" s="304" t="s">
        <v>219</v>
      </c>
      <c r="E20" s="305">
        <f>SUM(E21:E24)</f>
        <v>0</v>
      </c>
      <c r="F20" s="305">
        <f t="shared" ref="F20:N20" si="2">SUM(F21:F24)</f>
        <v>0</v>
      </c>
      <c r="G20" s="305">
        <f t="shared" si="2"/>
        <v>0</v>
      </c>
      <c r="H20" s="305">
        <f t="shared" si="2"/>
        <v>0</v>
      </c>
      <c r="I20" s="305">
        <f t="shared" si="2"/>
        <v>0</v>
      </c>
      <c r="J20" s="305">
        <f t="shared" si="2"/>
        <v>0</v>
      </c>
      <c r="K20" s="305">
        <f t="shared" si="2"/>
        <v>0</v>
      </c>
      <c r="L20" s="305">
        <f t="shared" si="2"/>
        <v>0</v>
      </c>
      <c r="M20" s="305">
        <f t="shared" si="2"/>
        <v>0</v>
      </c>
      <c r="N20" s="305">
        <f t="shared" si="2"/>
        <v>0</v>
      </c>
      <c r="O20" s="305">
        <f>SUM(E20:N20)</f>
        <v>0</v>
      </c>
    </row>
    <row r="21" spans="1:21" x14ac:dyDescent="0.3">
      <c r="A21" s="301"/>
      <c r="B21" s="301"/>
      <c r="D21" s="199" t="s">
        <v>213</v>
      </c>
      <c r="E21" s="306">
        <f>E27*$E9</f>
        <v>0</v>
      </c>
      <c r="F21" s="306">
        <f t="shared" ref="F21:N24" si="3">F27*$E9</f>
        <v>0</v>
      </c>
      <c r="G21" s="306">
        <f t="shared" si="3"/>
        <v>0</v>
      </c>
      <c r="H21" s="306">
        <f t="shared" si="3"/>
        <v>0</v>
      </c>
      <c r="I21" s="306">
        <f t="shared" si="3"/>
        <v>0</v>
      </c>
      <c r="J21" s="306">
        <f t="shared" si="3"/>
        <v>0</v>
      </c>
      <c r="K21" s="306">
        <f t="shared" si="3"/>
        <v>0</v>
      </c>
      <c r="L21" s="306">
        <f t="shared" si="3"/>
        <v>0</v>
      </c>
      <c r="M21" s="306">
        <f t="shared" si="3"/>
        <v>0</v>
      </c>
      <c r="N21" s="306">
        <f t="shared" si="3"/>
        <v>0</v>
      </c>
      <c r="O21" s="306">
        <f t="shared" ref="O21:O24" si="4">SUM(E21:N21)</f>
        <v>0</v>
      </c>
    </row>
    <row r="22" spans="1:21" x14ac:dyDescent="0.3">
      <c r="A22" s="301"/>
      <c r="B22" s="301"/>
      <c r="D22" s="199" t="s">
        <v>184</v>
      </c>
      <c r="E22" s="306">
        <f t="shared" ref="E22:E24" si="5">E28*$E10</f>
        <v>0</v>
      </c>
      <c r="F22" s="306">
        <f t="shared" si="3"/>
        <v>0</v>
      </c>
      <c r="G22" s="306">
        <f t="shared" si="3"/>
        <v>0</v>
      </c>
      <c r="H22" s="306">
        <f t="shared" si="3"/>
        <v>0</v>
      </c>
      <c r="I22" s="306">
        <f t="shared" si="3"/>
        <v>0</v>
      </c>
      <c r="J22" s="306">
        <f t="shared" si="3"/>
        <v>0</v>
      </c>
      <c r="K22" s="306">
        <f t="shared" si="3"/>
        <v>0</v>
      </c>
      <c r="L22" s="306">
        <f t="shared" si="3"/>
        <v>0</v>
      </c>
      <c r="M22" s="306">
        <f t="shared" si="3"/>
        <v>0</v>
      </c>
      <c r="N22" s="306">
        <f t="shared" si="3"/>
        <v>0</v>
      </c>
      <c r="O22" s="306">
        <f t="shared" si="4"/>
        <v>0</v>
      </c>
    </row>
    <row r="23" spans="1:21" x14ac:dyDescent="0.3">
      <c r="A23" s="301"/>
      <c r="B23" s="301"/>
      <c r="D23" s="199" t="s">
        <v>214</v>
      </c>
      <c r="E23" s="306">
        <f t="shared" si="5"/>
        <v>0</v>
      </c>
      <c r="F23" s="306">
        <f t="shared" si="3"/>
        <v>0</v>
      </c>
      <c r="G23" s="306">
        <f t="shared" si="3"/>
        <v>0</v>
      </c>
      <c r="H23" s="306">
        <f t="shared" si="3"/>
        <v>0</v>
      </c>
      <c r="I23" s="306">
        <f t="shared" si="3"/>
        <v>0</v>
      </c>
      <c r="J23" s="306">
        <f t="shared" si="3"/>
        <v>0</v>
      </c>
      <c r="K23" s="306">
        <f t="shared" si="3"/>
        <v>0</v>
      </c>
      <c r="L23" s="306">
        <f t="shared" si="3"/>
        <v>0</v>
      </c>
      <c r="M23" s="306">
        <f t="shared" si="3"/>
        <v>0</v>
      </c>
      <c r="N23" s="306">
        <f t="shared" si="3"/>
        <v>0</v>
      </c>
      <c r="O23" s="306">
        <f t="shared" si="4"/>
        <v>0</v>
      </c>
    </row>
    <row r="24" spans="1:21" ht="15" thickBot="1" x14ac:dyDescent="0.35">
      <c r="A24" s="301"/>
      <c r="B24" s="301"/>
      <c r="D24" s="199" t="s">
        <v>215</v>
      </c>
      <c r="E24" s="306">
        <f t="shared" si="5"/>
        <v>0</v>
      </c>
      <c r="F24" s="306">
        <f t="shared" si="3"/>
        <v>0</v>
      </c>
      <c r="G24" s="306">
        <f t="shared" si="3"/>
        <v>0</v>
      </c>
      <c r="H24" s="306">
        <f t="shared" si="3"/>
        <v>0</v>
      </c>
      <c r="I24" s="306">
        <f t="shared" si="3"/>
        <v>0</v>
      </c>
      <c r="J24" s="306">
        <f t="shared" si="3"/>
        <v>0</v>
      </c>
      <c r="K24" s="306">
        <f t="shared" si="3"/>
        <v>0</v>
      </c>
      <c r="L24" s="306">
        <f t="shared" si="3"/>
        <v>0</v>
      </c>
      <c r="M24" s="306">
        <f t="shared" si="3"/>
        <v>0</v>
      </c>
      <c r="N24" s="306">
        <f t="shared" si="3"/>
        <v>0</v>
      </c>
      <c r="O24" s="306">
        <f t="shared" si="4"/>
        <v>0</v>
      </c>
    </row>
    <row r="25" spans="1:21" ht="15.6" customHeight="1" x14ac:dyDescent="0.3">
      <c r="A25" s="301"/>
      <c r="B25" s="301"/>
      <c r="D25" s="302"/>
      <c r="E25" s="199"/>
      <c r="F25" s="199"/>
      <c r="G25" s="199"/>
      <c r="H25" s="199"/>
      <c r="I25" s="199"/>
      <c r="J25" s="199"/>
      <c r="K25" s="199"/>
      <c r="L25" s="199"/>
      <c r="M25" s="199"/>
      <c r="N25" s="199"/>
      <c r="O25" s="199"/>
      <c r="R25" s="307" t="s">
        <v>220</v>
      </c>
      <c r="S25" s="308"/>
      <c r="T25" s="309" t="s">
        <v>221</v>
      </c>
      <c r="U25" s="309" t="s">
        <v>222</v>
      </c>
    </row>
    <row r="26" spans="1:21" ht="15" thickBot="1" x14ac:dyDescent="0.35">
      <c r="A26" s="301"/>
      <c r="B26" s="301"/>
      <c r="D26" s="304" t="s">
        <v>77</v>
      </c>
      <c r="E26" s="310">
        <f>SUM(E27:E30)</f>
        <v>0</v>
      </c>
      <c r="F26" s="310">
        <f t="shared" ref="F26:N26" si="6">SUM(F27:F30)</f>
        <v>0</v>
      </c>
      <c r="G26" s="310">
        <f t="shared" si="6"/>
        <v>0</v>
      </c>
      <c r="H26" s="310">
        <f t="shared" si="6"/>
        <v>0</v>
      </c>
      <c r="I26" s="310">
        <f t="shared" si="6"/>
        <v>0</v>
      </c>
      <c r="J26" s="310">
        <f t="shared" si="6"/>
        <v>0</v>
      </c>
      <c r="K26" s="310">
        <f t="shared" si="6"/>
        <v>0</v>
      </c>
      <c r="L26" s="310">
        <f t="shared" si="6"/>
        <v>0</v>
      </c>
      <c r="M26" s="310">
        <f t="shared" si="6"/>
        <v>0</v>
      </c>
      <c r="N26" s="310">
        <f t="shared" si="6"/>
        <v>0</v>
      </c>
      <c r="O26" s="311">
        <f>SUM(E26:N26)</f>
        <v>0</v>
      </c>
      <c r="P26" s="312">
        <f>O26/SUM($O$26+$O$39+$O$52)</f>
        <v>0</v>
      </c>
      <c r="R26" s="313"/>
      <c r="S26" s="314"/>
      <c r="T26" s="315"/>
      <c r="U26" s="316"/>
    </row>
    <row r="27" spans="1:21" ht="14.1" customHeight="1" x14ac:dyDescent="0.3">
      <c r="A27" s="301" t="str">
        <f>$G$3&amp;$D$19&amp;D27</f>
        <v>UKOCT - PP &amp; AADOM</v>
      </c>
      <c r="B27" s="301"/>
      <c r="D27" s="199" t="s">
        <v>213</v>
      </c>
      <c r="E27" s="317"/>
      <c r="F27" s="317"/>
      <c r="G27" s="317"/>
      <c r="H27" s="317"/>
      <c r="I27" s="317"/>
      <c r="J27" s="317"/>
      <c r="K27" s="317"/>
      <c r="L27" s="317"/>
      <c r="M27" s="317"/>
      <c r="N27" s="317"/>
      <c r="O27" s="318">
        <f t="shared" ref="O27:O30" si="7">SUM(E27:N27)</f>
        <v>0</v>
      </c>
      <c r="R27" s="319"/>
      <c r="S27" s="320"/>
      <c r="T27" s="321"/>
      <c r="U27" s="321"/>
    </row>
    <row r="28" spans="1:21" x14ac:dyDescent="0.3">
      <c r="A28" s="301" t="str">
        <f>$G$3&amp;$D$19&amp;D28</f>
        <v>UKOCT - PP &amp; AAINTRA EEA</v>
      </c>
      <c r="B28" s="301"/>
      <c r="D28" s="199" t="s">
        <v>184</v>
      </c>
      <c r="E28" s="317"/>
      <c r="F28" s="317"/>
      <c r="G28" s="317"/>
      <c r="H28" s="317"/>
      <c r="I28" s="317"/>
      <c r="J28" s="317"/>
      <c r="K28" s="317"/>
      <c r="L28" s="317"/>
      <c r="M28" s="317"/>
      <c r="N28" s="317"/>
      <c r="O28" s="318">
        <f t="shared" si="7"/>
        <v>0</v>
      </c>
      <c r="R28" s="322"/>
      <c r="S28" s="323"/>
      <c r="T28" s="324"/>
      <c r="U28" s="324"/>
    </row>
    <row r="29" spans="1:21" x14ac:dyDescent="0.3">
      <c r="A29" s="301" t="str">
        <f>$G$3&amp;$D$19&amp;D29</f>
        <v>UKOCT - PP &amp; AAINTRA Non-EEA</v>
      </c>
      <c r="B29" s="301"/>
      <c r="D29" s="199" t="s">
        <v>214</v>
      </c>
      <c r="E29" s="317"/>
      <c r="F29" s="317"/>
      <c r="G29" s="317"/>
      <c r="H29" s="317"/>
      <c r="I29" s="317"/>
      <c r="J29" s="317"/>
      <c r="K29" s="317"/>
      <c r="L29" s="317"/>
      <c r="M29" s="317"/>
      <c r="N29" s="317"/>
      <c r="O29" s="318">
        <f t="shared" ref="O29" si="8">SUM(E29:N29)</f>
        <v>0</v>
      </c>
      <c r="R29" s="322"/>
      <c r="S29" s="323"/>
      <c r="T29" s="324"/>
      <c r="U29" s="324"/>
    </row>
    <row r="30" spans="1:21" ht="15" thickBot="1" x14ac:dyDescent="0.35">
      <c r="A30" s="301" t="str">
        <f>$G$3&amp;$D$19&amp;D30</f>
        <v>UKOCT - PP &amp; AAINTER</v>
      </c>
      <c r="B30" s="301"/>
      <c r="D30" s="199" t="s">
        <v>215</v>
      </c>
      <c r="E30" s="317"/>
      <c r="F30" s="317"/>
      <c r="G30" s="317"/>
      <c r="H30" s="317"/>
      <c r="I30" s="317"/>
      <c r="J30" s="317"/>
      <c r="K30" s="317"/>
      <c r="L30" s="317"/>
      <c r="M30" s="317"/>
      <c r="N30" s="317"/>
      <c r="O30" s="318">
        <f t="shared" si="7"/>
        <v>0</v>
      </c>
      <c r="R30" s="325"/>
      <c r="S30" s="326"/>
      <c r="T30" s="327"/>
      <c r="U30" s="327"/>
    </row>
    <row r="31" spans="1:21" x14ac:dyDescent="0.3">
      <c r="A31" s="301"/>
      <c r="B31" s="301"/>
    </row>
    <row r="32" spans="1:21" x14ac:dyDescent="0.3">
      <c r="A32" s="301"/>
      <c r="B32" s="301"/>
      <c r="D32" s="302" t="s">
        <v>208</v>
      </c>
      <c r="E32" s="303">
        <v>1</v>
      </c>
      <c r="F32" s="303">
        <v>2</v>
      </c>
      <c r="G32" s="303">
        <v>3</v>
      </c>
      <c r="H32" s="303">
        <v>4</v>
      </c>
      <c r="I32" s="303">
        <v>5</v>
      </c>
      <c r="J32" s="303">
        <v>6</v>
      </c>
      <c r="K32" s="303">
        <v>7</v>
      </c>
      <c r="L32" s="303">
        <v>8</v>
      </c>
      <c r="M32" s="303">
        <v>9</v>
      </c>
      <c r="N32" s="303">
        <v>10</v>
      </c>
      <c r="O32" s="303" t="s">
        <v>218</v>
      </c>
    </row>
    <row r="33" spans="1:21" x14ac:dyDescent="0.3">
      <c r="A33" s="301"/>
      <c r="B33" s="301"/>
      <c r="D33" s="304" t="s">
        <v>219</v>
      </c>
      <c r="E33" s="305">
        <f>SUM(E34:E37)</f>
        <v>0</v>
      </c>
      <c r="F33" s="305">
        <f t="shared" ref="F33:N33" si="9">SUM(F34:F37)</f>
        <v>0</v>
      </c>
      <c r="G33" s="305">
        <f t="shared" si="9"/>
        <v>0</v>
      </c>
      <c r="H33" s="305">
        <f t="shared" si="9"/>
        <v>0</v>
      </c>
      <c r="I33" s="305">
        <f t="shared" si="9"/>
        <v>0</v>
      </c>
      <c r="J33" s="305">
        <f t="shared" si="9"/>
        <v>0</v>
      </c>
      <c r="K33" s="305">
        <f t="shared" si="9"/>
        <v>0</v>
      </c>
      <c r="L33" s="305">
        <f t="shared" si="9"/>
        <v>0</v>
      </c>
      <c r="M33" s="305">
        <f t="shared" si="9"/>
        <v>0</v>
      </c>
      <c r="N33" s="305">
        <f t="shared" si="9"/>
        <v>0</v>
      </c>
      <c r="O33" s="305">
        <f>SUM(E33:N33)</f>
        <v>0</v>
      </c>
      <c r="P33" s="120"/>
      <c r="Q33" s="120"/>
    </row>
    <row r="34" spans="1:21" x14ac:dyDescent="0.3">
      <c r="A34" s="301"/>
      <c r="B34" s="301"/>
      <c r="D34" s="199" t="s">
        <v>213</v>
      </c>
      <c r="E34" s="306">
        <f>E40*$F9</f>
        <v>0</v>
      </c>
      <c r="F34" s="306">
        <f t="shared" ref="F34:N37" si="10">F40*$F9</f>
        <v>0</v>
      </c>
      <c r="G34" s="306">
        <f t="shared" si="10"/>
        <v>0</v>
      </c>
      <c r="H34" s="306">
        <f t="shared" si="10"/>
        <v>0</v>
      </c>
      <c r="I34" s="306">
        <f t="shared" si="10"/>
        <v>0</v>
      </c>
      <c r="J34" s="306">
        <f t="shared" si="10"/>
        <v>0</v>
      </c>
      <c r="K34" s="306">
        <f t="shared" si="10"/>
        <v>0</v>
      </c>
      <c r="L34" s="306">
        <f t="shared" si="10"/>
        <v>0</v>
      </c>
      <c r="M34" s="306">
        <f t="shared" si="10"/>
        <v>0</v>
      </c>
      <c r="N34" s="306">
        <f t="shared" si="10"/>
        <v>0</v>
      </c>
      <c r="O34" s="306">
        <f t="shared" ref="O34:O37" si="11">SUM(E34:N34)</f>
        <v>0</v>
      </c>
    </row>
    <row r="35" spans="1:21" x14ac:dyDescent="0.3">
      <c r="A35" s="301"/>
      <c r="B35" s="301"/>
      <c r="D35" s="199" t="s">
        <v>184</v>
      </c>
      <c r="E35" s="306">
        <f t="shared" ref="E35:E37" si="12">E41*$F10</f>
        <v>0</v>
      </c>
      <c r="F35" s="306">
        <f t="shared" si="10"/>
        <v>0</v>
      </c>
      <c r="G35" s="306">
        <f t="shared" si="10"/>
        <v>0</v>
      </c>
      <c r="H35" s="306">
        <f t="shared" si="10"/>
        <v>0</v>
      </c>
      <c r="I35" s="306">
        <f t="shared" si="10"/>
        <v>0</v>
      </c>
      <c r="J35" s="306">
        <f t="shared" si="10"/>
        <v>0</v>
      </c>
      <c r="K35" s="306">
        <f t="shared" si="10"/>
        <v>0</v>
      </c>
      <c r="L35" s="306">
        <f t="shared" si="10"/>
        <v>0</v>
      </c>
      <c r="M35" s="306">
        <f t="shared" si="10"/>
        <v>0</v>
      </c>
      <c r="N35" s="306">
        <f t="shared" si="10"/>
        <v>0</v>
      </c>
      <c r="O35" s="306">
        <f t="shared" si="11"/>
        <v>0</v>
      </c>
    </row>
    <row r="36" spans="1:21" x14ac:dyDescent="0.3">
      <c r="A36" s="301"/>
      <c r="B36" s="301"/>
      <c r="D36" s="199" t="s">
        <v>214</v>
      </c>
      <c r="E36" s="306">
        <f t="shared" si="12"/>
        <v>0</v>
      </c>
      <c r="F36" s="306">
        <f t="shared" si="10"/>
        <v>0</v>
      </c>
      <c r="G36" s="306">
        <f t="shared" si="10"/>
        <v>0</v>
      </c>
      <c r="H36" s="306">
        <f t="shared" si="10"/>
        <v>0</v>
      </c>
      <c r="I36" s="306">
        <f t="shared" si="10"/>
        <v>0</v>
      </c>
      <c r="J36" s="306">
        <f t="shared" si="10"/>
        <v>0</v>
      </c>
      <c r="K36" s="306">
        <f t="shared" si="10"/>
        <v>0</v>
      </c>
      <c r="L36" s="306">
        <f t="shared" si="10"/>
        <v>0</v>
      </c>
      <c r="M36" s="306">
        <f t="shared" si="10"/>
        <v>0</v>
      </c>
      <c r="N36" s="306">
        <f t="shared" si="10"/>
        <v>0</v>
      </c>
      <c r="O36" s="306">
        <f t="shared" si="11"/>
        <v>0</v>
      </c>
    </row>
    <row r="37" spans="1:21" ht="15" thickBot="1" x14ac:dyDescent="0.35">
      <c r="A37" s="301"/>
      <c r="B37" s="301"/>
      <c r="D37" s="199" t="s">
        <v>215</v>
      </c>
      <c r="E37" s="306">
        <f t="shared" si="12"/>
        <v>0</v>
      </c>
      <c r="F37" s="306">
        <f t="shared" si="10"/>
        <v>0</v>
      </c>
      <c r="G37" s="306">
        <f t="shared" si="10"/>
        <v>0</v>
      </c>
      <c r="H37" s="306">
        <f t="shared" si="10"/>
        <v>0</v>
      </c>
      <c r="I37" s="306">
        <f t="shared" si="10"/>
        <v>0</v>
      </c>
      <c r="J37" s="306">
        <f t="shared" si="10"/>
        <v>0</v>
      </c>
      <c r="K37" s="306">
        <f t="shared" si="10"/>
        <v>0</v>
      </c>
      <c r="L37" s="306">
        <f t="shared" si="10"/>
        <v>0</v>
      </c>
      <c r="M37" s="306">
        <f t="shared" si="10"/>
        <v>0</v>
      </c>
      <c r="N37" s="306">
        <f t="shared" si="10"/>
        <v>0</v>
      </c>
      <c r="O37" s="306">
        <f t="shared" si="11"/>
        <v>0</v>
      </c>
    </row>
    <row r="38" spans="1:21" ht="14.4" customHeight="1" x14ac:dyDescent="0.3">
      <c r="A38" s="301"/>
      <c r="B38" s="301"/>
      <c r="D38" s="302"/>
      <c r="E38" s="199"/>
      <c r="F38" s="199"/>
      <c r="G38" s="199"/>
      <c r="H38" s="199"/>
      <c r="I38" s="199"/>
      <c r="J38" s="199"/>
      <c r="K38" s="199"/>
      <c r="L38" s="199"/>
      <c r="M38" s="199"/>
      <c r="N38" s="199"/>
      <c r="O38" s="199"/>
      <c r="R38" s="307" t="s">
        <v>223</v>
      </c>
      <c r="S38" s="308"/>
      <c r="T38" s="309" t="s">
        <v>221</v>
      </c>
      <c r="U38" s="309" t="s">
        <v>222</v>
      </c>
    </row>
    <row r="39" spans="1:21" ht="14.4" customHeight="1" thickBot="1" x14ac:dyDescent="0.35">
      <c r="A39" s="301"/>
      <c r="B39" s="301"/>
      <c r="D39" s="304" t="s">
        <v>77</v>
      </c>
      <c r="E39" s="310">
        <f>SUM(E40:E43)</f>
        <v>0</v>
      </c>
      <c r="F39" s="310">
        <f t="shared" ref="F39:N39" si="13">SUM(F40:F43)</f>
        <v>0</v>
      </c>
      <c r="G39" s="310">
        <f t="shared" si="13"/>
        <v>0</v>
      </c>
      <c r="H39" s="310">
        <f t="shared" si="13"/>
        <v>0</v>
      </c>
      <c r="I39" s="310">
        <f t="shared" si="13"/>
        <v>0</v>
      </c>
      <c r="J39" s="310">
        <f t="shared" si="13"/>
        <v>0</v>
      </c>
      <c r="K39" s="310">
        <f t="shared" si="13"/>
        <v>0</v>
      </c>
      <c r="L39" s="310">
        <f t="shared" si="13"/>
        <v>0</v>
      </c>
      <c r="M39" s="310">
        <f t="shared" si="13"/>
        <v>0</v>
      </c>
      <c r="N39" s="310">
        <f t="shared" si="13"/>
        <v>0</v>
      </c>
      <c r="O39" s="311">
        <f>SUM(E39:N39)</f>
        <v>0</v>
      </c>
      <c r="P39" s="312">
        <f>O39/SUM($O$26+$O$39+$O$52)</f>
        <v>0</v>
      </c>
      <c r="R39" s="328"/>
      <c r="S39" s="329"/>
      <c r="T39" s="315"/>
      <c r="U39" s="316"/>
    </row>
    <row r="40" spans="1:21" x14ac:dyDescent="0.3">
      <c r="A40" s="301" t="str">
        <f>$G$3&amp;$D$32&amp;D40</f>
        <v>UKOCT - FDDOM</v>
      </c>
      <c r="B40" s="301" t="s">
        <v>213</v>
      </c>
      <c r="D40" s="199" t="s">
        <v>213</v>
      </c>
      <c r="E40" s="317"/>
      <c r="F40" s="317"/>
      <c r="G40" s="317"/>
      <c r="H40" s="317"/>
      <c r="I40" s="317"/>
      <c r="J40" s="317"/>
      <c r="K40" s="317"/>
      <c r="L40" s="317"/>
      <c r="M40" s="317"/>
      <c r="N40" s="317"/>
      <c r="O40" s="318">
        <f t="shared" ref="O40:O43" si="14">SUM(E40:N40)</f>
        <v>0</v>
      </c>
      <c r="Q40" s="196"/>
      <c r="R40" s="330"/>
      <c r="S40" s="331"/>
      <c r="T40" s="321"/>
      <c r="U40" s="321"/>
    </row>
    <row r="41" spans="1:21" x14ac:dyDescent="0.3">
      <c r="A41" s="301" t="str">
        <f>$G$3&amp;$D$32&amp;D41</f>
        <v>UKOCT - FDINTRA EEA</v>
      </c>
      <c r="B41" s="301" t="s">
        <v>184</v>
      </c>
      <c r="D41" s="199" t="s">
        <v>184</v>
      </c>
      <c r="E41" s="317"/>
      <c r="F41" s="317"/>
      <c r="G41" s="317"/>
      <c r="H41" s="317"/>
      <c r="I41" s="317"/>
      <c r="J41" s="317"/>
      <c r="K41" s="317"/>
      <c r="L41" s="317"/>
      <c r="M41" s="317"/>
      <c r="N41" s="317"/>
      <c r="O41" s="318">
        <f t="shared" si="14"/>
        <v>0</v>
      </c>
      <c r="Q41" s="196"/>
      <c r="R41" s="322"/>
      <c r="S41" s="332"/>
      <c r="T41" s="324"/>
      <c r="U41" s="324"/>
    </row>
    <row r="42" spans="1:21" x14ac:dyDescent="0.3">
      <c r="A42" s="301" t="str">
        <f>$G$3&amp;$D$32&amp;D42</f>
        <v>UKOCT - FDINTRA Non-EEA</v>
      </c>
      <c r="B42" s="301" t="s">
        <v>214</v>
      </c>
      <c r="D42" s="199" t="s">
        <v>214</v>
      </c>
      <c r="E42" s="317"/>
      <c r="F42" s="317"/>
      <c r="G42" s="317"/>
      <c r="H42" s="317"/>
      <c r="I42" s="317"/>
      <c r="J42" s="317"/>
      <c r="K42" s="317"/>
      <c r="L42" s="317"/>
      <c r="M42" s="317"/>
      <c r="N42" s="317"/>
      <c r="O42" s="318">
        <f t="shared" ref="O42" si="15">SUM(E42:N42)</f>
        <v>0</v>
      </c>
      <c r="R42" s="322"/>
      <c r="S42" s="332"/>
      <c r="T42" s="324"/>
      <c r="U42" s="324"/>
    </row>
    <row r="43" spans="1:21" ht="15" thickBot="1" x14ac:dyDescent="0.35">
      <c r="A43" s="301" t="str">
        <f>$G$3&amp;$D$32&amp;D43</f>
        <v>UKOCT - FDINTER</v>
      </c>
      <c r="B43" s="301" t="s">
        <v>215</v>
      </c>
      <c r="D43" s="199" t="s">
        <v>215</v>
      </c>
      <c r="E43" s="317"/>
      <c r="F43" s="317"/>
      <c r="G43" s="317"/>
      <c r="H43" s="317"/>
      <c r="I43" s="317"/>
      <c r="J43" s="317"/>
      <c r="K43" s="317"/>
      <c r="L43" s="317"/>
      <c r="M43" s="317"/>
      <c r="N43" s="317"/>
      <c r="O43" s="318">
        <f t="shared" si="14"/>
        <v>0</v>
      </c>
      <c r="Q43" s="196"/>
      <c r="R43" s="325"/>
      <c r="S43" s="333"/>
      <c r="T43" s="327"/>
      <c r="U43" s="327"/>
    </row>
    <row r="44" spans="1:21" x14ac:dyDescent="0.3">
      <c r="A44" s="301"/>
      <c r="B44" s="301"/>
      <c r="E44" s="197"/>
    </row>
    <row r="45" spans="1:21" x14ac:dyDescent="0.3">
      <c r="A45" s="301"/>
      <c r="B45" s="301"/>
      <c r="D45" s="302" t="s">
        <v>209</v>
      </c>
      <c r="E45" s="303">
        <v>1</v>
      </c>
      <c r="F45" s="303">
        <v>2</v>
      </c>
      <c r="G45" s="303">
        <v>3</v>
      </c>
      <c r="H45" s="303">
        <v>4</v>
      </c>
      <c r="I45" s="303">
        <v>5</v>
      </c>
      <c r="J45" s="303">
        <v>6</v>
      </c>
      <c r="K45" s="303">
        <v>7</v>
      </c>
      <c r="L45" s="303">
        <v>8</v>
      </c>
      <c r="M45" s="303">
        <v>9</v>
      </c>
      <c r="N45" s="303">
        <v>10</v>
      </c>
      <c r="O45" s="303" t="s">
        <v>218</v>
      </c>
    </row>
    <row r="46" spans="1:21" x14ac:dyDescent="0.3">
      <c r="A46" s="301"/>
      <c r="B46" s="301"/>
      <c r="D46" s="304" t="s">
        <v>219</v>
      </c>
      <c r="E46" s="305">
        <f>SUM(E47:E50)</f>
        <v>1047200000</v>
      </c>
      <c r="F46" s="305">
        <f t="shared" ref="F46:N46" si="16">SUM(F47:F50)</f>
        <v>1047200000</v>
      </c>
      <c r="G46" s="305">
        <f t="shared" si="16"/>
        <v>0</v>
      </c>
      <c r="H46" s="305">
        <f t="shared" si="16"/>
        <v>0</v>
      </c>
      <c r="I46" s="305">
        <f t="shared" si="16"/>
        <v>0</v>
      </c>
      <c r="J46" s="305">
        <f t="shared" si="16"/>
        <v>0</v>
      </c>
      <c r="K46" s="305">
        <f t="shared" si="16"/>
        <v>0</v>
      </c>
      <c r="L46" s="305">
        <f t="shared" si="16"/>
        <v>0</v>
      </c>
      <c r="M46" s="305">
        <f t="shared" si="16"/>
        <v>0</v>
      </c>
      <c r="N46" s="305">
        <f t="shared" si="16"/>
        <v>0</v>
      </c>
      <c r="O46" s="305">
        <f>SUM(E46:N46)</f>
        <v>2094400000</v>
      </c>
    </row>
    <row r="47" spans="1:21" x14ac:dyDescent="0.3">
      <c r="A47" s="301"/>
      <c r="B47" s="301"/>
      <c r="D47" s="199" t="s">
        <v>213</v>
      </c>
      <c r="E47" s="306">
        <f>E53*$G9</f>
        <v>1047200000</v>
      </c>
      <c r="F47" s="306">
        <f t="shared" ref="F47:N47" si="17">F53*$G9</f>
        <v>1047200000</v>
      </c>
      <c r="G47" s="306">
        <f t="shared" si="17"/>
        <v>0</v>
      </c>
      <c r="H47" s="306">
        <f t="shared" si="17"/>
        <v>0</v>
      </c>
      <c r="I47" s="306">
        <f t="shared" si="17"/>
        <v>0</v>
      </c>
      <c r="J47" s="306">
        <f t="shared" si="17"/>
        <v>0</v>
      </c>
      <c r="K47" s="306">
        <f t="shared" si="17"/>
        <v>0</v>
      </c>
      <c r="L47" s="306">
        <f t="shared" si="17"/>
        <v>0</v>
      </c>
      <c r="M47" s="306">
        <f t="shared" si="17"/>
        <v>0</v>
      </c>
      <c r="N47" s="306">
        <f t="shared" si="17"/>
        <v>0</v>
      </c>
      <c r="O47" s="306">
        <f t="shared" ref="O47:O50" si="18">SUM(E47:N47)</f>
        <v>2094400000</v>
      </c>
    </row>
    <row r="48" spans="1:21" x14ac:dyDescent="0.3">
      <c r="A48" s="301"/>
      <c r="B48" s="301"/>
      <c r="D48" s="199" t="s">
        <v>184</v>
      </c>
      <c r="E48" s="306">
        <f t="shared" ref="E48:N50" si="19">E54*$G10</f>
        <v>0</v>
      </c>
      <c r="F48" s="306">
        <f t="shared" si="19"/>
        <v>0</v>
      </c>
      <c r="G48" s="306">
        <f t="shared" si="19"/>
        <v>0</v>
      </c>
      <c r="H48" s="306">
        <f t="shared" si="19"/>
        <v>0</v>
      </c>
      <c r="I48" s="306">
        <f t="shared" si="19"/>
        <v>0</v>
      </c>
      <c r="J48" s="306">
        <f t="shared" si="19"/>
        <v>0</v>
      </c>
      <c r="K48" s="306">
        <f t="shared" si="19"/>
        <v>0</v>
      </c>
      <c r="L48" s="306">
        <f t="shared" si="19"/>
        <v>0</v>
      </c>
      <c r="M48" s="306">
        <f t="shared" si="19"/>
        <v>0</v>
      </c>
      <c r="N48" s="306">
        <f t="shared" si="19"/>
        <v>0</v>
      </c>
      <c r="O48" s="306">
        <f t="shared" si="18"/>
        <v>0</v>
      </c>
    </row>
    <row r="49" spans="1:22" x14ac:dyDescent="0.3">
      <c r="A49" s="301"/>
      <c r="B49" s="301"/>
      <c r="D49" s="199" t="s">
        <v>214</v>
      </c>
      <c r="E49" s="306">
        <f t="shared" si="19"/>
        <v>0</v>
      </c>
      <c r="F49" s="306">
        <f t="shared" si="19"/>
        <v>0</v>
      </c>
      <c r="G49" s="306">
        <f t="shared" si="19"/>
        <v>0</v>
      </c>
      <c r="H49" s="306">
        <f t="shared" si="19"/>
        <v>0</v>
      </c>
      <c r="I49" s="306">
        <f t="shared" si="19"/>
        <v>0</v>
      </c>
      <c r="J49" s="306">
        <f t="shared" si="19"/>
        <v>0</v>
      </c>
      <c r="K49" s="306">
        <f t="shared" si="19"/>
        <v>0</v>
      </c>
      <c r="L49" s="306">
        <f t="shared" si="19"/>
        <v>0</v>
      </c>
      <c r="M49" s="306">
        <f t="shared" si="19"/>
        <v>0</v>
      </c>
      <c r="N49" s="306">
        <f t="shared" si="19"/>
        <v>0</v>
      </c>
      <c r="O49" s="306">
        <f t="shared" si="18"/>
        <v>0</v>
      </c>
      <c r="R49" s="78">
        <v>1000000</v>
      </c>
      <c r="S49" s="78">
        <v>1100000</v>
      </c>
      <c r="T49" s="78">
        <v>1182500</v>
      </c>
      <c r="U49" s="78">
        <v>1241625</v>
      </c>
      <c r="V49" s="78">
        <v>1303706.25</v>
      </c>
    </row>
    <row r="50" spans="1:22" ht="15" thickBot="1" x14ac:dyDescent="0.35">
      <c r="A50" s="301"/>
      <c r="B50" s="301"/>
      <c r="D50" s="199" t="s">
        <v>215</v>
      </c>
      <c r="E50" s="306">
        <f t="shared" si="19"/>
        <v>0</v>
      </c>
      <c r="F50" s="306">
        <f t="shared" si="19"/>
        <v>0</v>
      </c>
      <c r="G50" s="306">
        <f t="shared" si="19"/>
        <v>0</v>
      </c>
      <c r="H50" s="306">
        <f t="shared" si="19"/>
        <v>0</v>
      </c>
      <c r="I50" s="306">
        <f t="shared" si="19"/>
        <v>0</v>
      </c>
      <c r="J50" s="306">
        <f t="shared" si="19"/>
        <v>0</v>
      </c>
      <c r="K50" s="306">
        <f t="shared" si="19"/>
        <v>0</v>
      </c>
      <c r="L50" s="306">
        <f t="shared" si="19"/>
        <v>0</v>
      </c>
      <c r="M50" s="306">
        <f t="shared" si="19"/>
        <v>0</v>
      </c>
      <c r="N50" s="306">
        <f t="shared" si="19"/>
        <v>0</v>
      </c>
      <c r="O50" s="306">
        <f t="shared" si="18"/>
        <v>0</v>
      </c>
    </row>
    <row r="51" spans="1:22" ht="14.4" customHeight="1" x14ac:dyDescent="0.3">
      <c r="A51" s="301"/>
      <c r="B51" s="301"/>
      <c r="D51" s="302"/>
      <c r="E51" s="199">
        <v>0.5</v>
      </c>
      <c r="F51" s="199"/>
      <c r="G51" s="199"/>
      <c r="H51" s="199"/>
      <c r="I51" s="199"/>
      <c r="J51" s="199"/>
      <c r="K51" s="199"/>
      <c r="L51" s="199"/>
      <c r="M51" s="199"/>
      <c r="N51" s="199"/>
      <c r="O51" s="199"/>
      <c r="R51" s="307" t="s">
        <v>224</v>
      </c>
      <c r="S51" s="308"/>
      <c r="T51" s="309" t="s">
        <v>221</v>
      </c>
      <c r="U51" s="309" t="s">
        <v>222</v>
      </c>
    </row>
    <row r="52" spans="1:22" ht="14.4" customHeight="1" thickBot="1" x14ac:dyDescent="0.35">
      <c r="A52" s="301"/>
      <c r="B52" s="301"/>
      <c r="D52" s="304" t="s">
        <v>77</v>
      </c>
      <c r="E52" s="310">
        <f>SUM(E53:E56)</f>
        <v>6545000</v>
      </c>
      <c r="F52" s="310">
        <f t="shared" ref="F52:N52" si="20">SUM(F53:F56)</f>
        <v>6545000</v>
      </c>
      <c r="G52" s="310">
        <f t="shared" si="20"/>
        <v>0</v>
      </c>
      <c r="H52" s="310">
        <f t="shared" si="20"/>
        <v>0</v>
      </c>
      <c r="I52" s="310">
        <f t="shared" si="20"/>
        <v>0</v>
      </c>
      <c r="J52" s="310">
        <f t="shared" si="20"/>
        <v>0</v>
      </c>
      <c r="K52" s="310">
        <f t="shared" si="20"/>
        <v>0</v>
      </c>
      <c r="L52" s="310">
        <f t="shared" si="20"/>
        <v>0</v>
      </c>
      <c r="M52" s="310">
        <f t="shared" si="20"/>
        <v>0</v>
      </c>
      <c r="N52" s="310">
        <f t="shared" si="20"/>
        <v>0</v>
      </c>
      <c r="O52" s="311">
        <f>SUM(E52:N52)</f>
        <v>13090000</v>
      </c>
      <c r="P52" s="312">
        <f>O52/SUM($O$26+$O$39+$O$52)</f>
        <v>1</v>
      </c>
      <c r="R52" s="328"/>
      <c r="S52" s="329"/>
      <c r="T52" s="315"/>
      <c r="U52" s="315"/>
    </row>
    <row r="53" spans="1:22" x14ac:dyDescent="0.3">
      <c r="A53" s="301" t="str">
        <f>$G$3&amp;$D$45&amp;D53</f>
        <v>UKAFTDOM</v>
      </c>
      <c r="B53" s="301" t="s">
        <v>213</v>
      </c>
      <c r="D53" s="199" t="s">
        <v>213</v>
      </c>
      <c r="E53" s="317">
        <v>6545000</v>
      </c>
      <c r="F53" s="317">
        <v>6545000</v>
      </c>
      <c r="G53" s="317"/>
      <c r="H53" s="317"/>
      <c r="I53" s="317"/>
      <c r="J53" s="317"/>
      <c r="K53" s="317"/>
      <c r="L53" s="317"/>
      <c r="M53" s="317"/>
      <c r="N53" s="317"/>
      <c r="O53" s="318">
        <f t="shared" ref="O53:O56" si="21">SUM(E53:N53)</f>
        <v>13090000</v>
      </c>
      <c r="R53" s="330" t="s">
        <v>225</v>
      </c>
      <c r="S53" s="334" t="s">
        <v>226</v>
      </c>
      <c r="T53" s="335"/>
      <c r="U53" s="331"/>
    </row>
    <row r="54" spans="1:22" x14ac:dyDescent="0.3">
      <c r="A54" s="301" t="str">
        <f>$G$3&amp;$D$45&amp;D54</f>
        <v>UKAFTINTRA EEA</v>
      </c>
      <c r="B54" s="301" t="s">
        <v>184</v>
      </c>
      <c r="D54" s="199" t="s">
        <v>184</v>
      </c>
      <c r="E54" s="317"/>
      <c r="F54" s="317"/>
      <c r="G54" s="317"/>
      <c r="H54" s="317"/>
      <c r="I54" s="317"/>
      <c r="J54" s="317"/>
      <c r="K54" s="317"/>
      <c r="L54" s="317"/>
      <c r="M54" s="317"/>
      <c r="N54" s="317"/>
      <c r="O54" s="318">
        <f t="shared" si="21"/>
        <v>0</v>
      </c>
      <c r="R54" s="322"/>
      <c r="S54" s="323"/>
      <c r="T54" s="336"/>
      <c r="U54" s="332"/>
    </row>
    <row r="55" spans="1:22" x14ac:dyDescent="0.3">
      <c r="A55" s="301" t="str">
        <f>$G$3&amp;$D$45&amp;D55</f>
        <v>UKAFTINTRA Non-EEA</v>
      </c>
      <c r="B55" s="301" t="s">
        <v>214</v>
      </c>
      <c r="D55" s="199" t="s">
        <v>214</v>
      </c>
      <c r="E55" s="317"/>
      <c r="F55" s="317"/>
      <c r="G55" s="317"/>
      <c r="H55" s="317"/>
      <c r="I55" s="317"/>
      <c r="J55" s="317"/>
      <c r="K55" s="317"/>
      <c r="L55" s="317"/>
      <c r="M55" s="317"/>
      <c r="N55" s="317"/>
      <c r="O55" s="318">
        <f t="shared" si="21"/>
        <v>0</v>
      </c>
      <c r="R55" s="322"/>
      <c r="S55" s="323"/>
      <c r="T55" s="336"/>
      <c r="U55" s="332"/>
    </row>
    <row r="56" spans="1:22" ht="15" thickBot="1" x14ac:dyDescent="0.35">
      <c r="A56" s="301" t="str">
        <f>$G$3&amp;$D$45&amp;D56</f>
        <v>UKAFTINTER</v>
      </c>
      <c r="B56" s="301" t="s">
        <v>215</v>
      </c>
      <c r="D56" s="199" t="s">
        <v>215</v>
      </c>
      <c r="E56" s="317"/>
      <c r="F56" s="317"/>
      <c r="G56" s="317"/>
      <c r="H56" s="317"/>
      <c r="I56" s="317"/>
      <c r="J56" s="317"/>
      <c r="K56" s="317"/>
      <c r="L56" s="317"/>
      <c r="M56" s="317"/>
      <c r="N56" s="317"/>
      <c r="O56" s="318">
        <f t="shared" si="21"/>
        <v>0</v>
      </c>
      <c r="R56" s="325"/>
      <c r="S56" s="326"/>
      <c r="T56" s="337"/>
      <c r="U56" s="333"/>
    </row>
    <row r="57" spans="1:22" x14ac:dyDescent="0.3">
      <c r="A57" s="301"/>
      <c r="B57" s="301"/>
    </row>
    <row r="58" spans="1:22" x14ac:dyDescent="0.3">
      <c r="A58" s="301"/>
      <c r="B58" s="301"/>
      <c r="D58" s="302" t="s">
        <v>218</v>
      </c>
      <c r="E58" s="303">
        <v>1</v>
      </c>
      <c r="F58" s="303">
        <v>2</v>
      </c>
      <c r="G58" s="303">
        <v>3</v>
      </c>
      <c r="H58" s="303">
        <v>4</v>
      </c>
      <c r="I58" s="303">
        <v>5</v>
      </c>
      <c r="J58" s="303">
        <v>6</v>
      </c>
      <c r="K58" s="303">
        <v>7</v>
      </c>
      <c r="L58" s="303">
        <v>8</v>
      </c>
      <c r="M58" s="303">
        <v>9</v>
      </c>
      <c r="N58" s="303">
        <v>10</v>
      </c>
      <c r="O58" s="303" t="s">
        <v>218</v>
      </c>
    </row>
    <row r="59" spans="1:22" x14ac:dyDescent="0.3">
      <c r="A59" s="301"/>
      <c r="B59" s="301"/>
      <c r="D59" s="304" t="s">
        <v>219</v>
      </c>
      <c r="E59" s="305">
        <f>SUM(E60:E63)</f>
        <v>1047200000</v>
      </c>
      <c r="F59" s="305">
        <f t="shared" ref="F59:N59" si="22">SUM(F60:F63)</f>
        <v>1047200000</v>
      </c>
      <c r="G59" s="305">
        <f t="shared" si="22"/>
        <v>0</v>
      </c>
      <c r="H59" s="305">
        <f t="shared" si="22"/>
        <v>0</v>
      </c>
      <c r="I59" s="305">
        <f t="shared" si="22"/>
        <v>0</v>
      </c>
      <c r="J59" s="305">
        <f t="shared" si="22"/>
        <v>0</v>
      </c>
      <c r="K59" s="305">
        <f t="shared" si="22"/>
        <v>0</v>
      </c>
      <c r="L59" s="305">
        <f t="shared" si="22"/>
        <v>0</v>
      </c>
      <c r="M59" s="305">
        <f t="shared" si="22"/>
        <v>0</v>
      </c>
      <c r="N59" s="305">
        <f t="shared" si="22"/>
        <v>0</v>
      </c>
      <c r="O59" s="305">
        <f>SUM(E59:N59)</f>
        <v>2094400000</v>
      </c>
      <c r="R59" s="120"/>
    </row>
    <row r="60" spans="1:22" x14ac:dyDescent="0.3">
      <c r="A60" s="301"/>
      <c r="B60" s="301"/>
      <c r="D60" s="199" t="s">
        <v>213</v>
      </c>
      <c r="E60" s="305">
        <f>E47+E34+E21</f>
        <v>1047200000</v>
      </c>
      <c r="F60" s="305">
        <f t="shared" ref="F60:N60" si="23">F47+F34+F21</f>
        <v>1047200000</v>
      </c>
      <c r="G60" s="305">
        <f t="shared" si="23"/>
        <v>0</v>
      </c>
      <c r="H60" s="305">
        <f t="shared" si="23"/>
        <v>0</v>
      </c>
      <c r="I60" s="305">
        <f t="shared" si="23"/>
        <v>0</v>
      </c>
      <c r="J60" s="305">
        <f t="shared" si="23"/>
        <v>0</v>
      </c>
      <c r="K60" s="305">
        <f t="shared" si="23"/>
        <v>0</v>
      </c>
      <c r="L60" s="305">
        <f t="shared" si="23"/>
        <v>0</v>
      </c>
      <c r="M60" s="305">
        <f t="shared" si="23"/>
        <v>0</v>
      </c>
      <c r="N60" s="305">
        <f t="shared" si="23"/>
        <v>0</v>
      </c>
      <c r="O60" s="305">
        <f t="shared" ref="O60:O63" si="24">SUM(E60:N60)</f>
        <v>2094400000</v>
      </c>
    </row>
    <row r="61" spans="1:22" x14ac:dyDescent="0.3">
      <c r="A61" s="301"/>
      <c r="B61" s="301"/>
      <c r="D61" s="199" t="s">
        <v>184</v>
      </c>
      <c r="E61" s="305">
        <f t="shared" ref="E61:N63" si="25">E48+E35+E22</f>
        <v>0</v>
      </c>
      <c r="F61" s="305">
        <f t="shared" si="25"/>
        <v>0</v>
      </c>
      <c r="G61" s="305">
        <f t="shared" si="25"/>
        <v>0</v>
      </c>
      <c r="H61" s="305">
        <f t="shared" si="25"/>
        <v>0</v>
      </c>
      <c r="I61" s="305">
        <f t="shared" si="25"/>
        <v>0</v>
      </c>
      <c r="J61" s="305">
        <f t="shared" si="25"/>
        <v>0</v>
      </c>
      <c r="K61" s="305">
        <f t="shared" si="25"/>
        <v>0</v>
      </c>
      <c r="L61" s="305">
        <f t="shared" si="25"/>
        <v>0</v>
      </c>
      <c r="M61" s="305">
        <f t="shared" si="25"/>
        <v>0</v>
      </c>
      <c r="N61" s="305">
        <f t="shared" si="25"/>
        <v>0</v>
      </c>
      <c r="O61" s="305">
        <f t="shared" si="24"/>
        <v>0</v>
      </c>
    </row>
    <row r="62" spans="1:22" x14ac:dyDescent="0.3">
      <c r="A62" s="301"/>
      <c r="B62" s="301"/>
      <c r="D62" s="199" t="s">
        <v>214</v>
      </c>
      <c r="E62" s="305">
        <f t="shared" si="25"/>
        <v>0</v>
      </c>
      <c r="F62" s="305">
        <f t="shared" si="25"/>
        <v>0</v>
      </c>
      <c r="G62" s="305">
        <f t="shared" si="25"/>
        <v>0</v>
      </c>
      <c r="H62" s="305">
        <f t="shared" si="25"/>
        <v>0</v>
      </c>
      <c r="I62" s="305">
        <f t="shared" si="25"/>
        <v>0</v>
      </c>
      <c r="J62" s="305">
        <f t="shared" si="25"/>
        <v>0</v>
      </c>
      <c r="K62" s="305">
        <f t="shared" si="25"/>
        <v>0</v>
      </c>
      <c r="L62" s="305">
        <f t="shared" si="25"/>
        <v>0</v>
      </c>
      <c r="M62" s="305">
        <f t="shared" si="25"/>
        <v>0</v>
      </c>
      <c r="N62" s="305">
        <f t="shared" si="25"/>
        <v>0</v>
      </c>
      <c r="O62" s="305">
        <f t="shared" si="24"/>
        <v>0</v>
      </c>
    </row>
    <row r="63" spans="1:22" x14ac:dyDescent="0.3">
      <c r="A63" s="301"/>
      <c r="B63" s="301"/>
      <c r="D63" s="199" t="s">
        <v>215</v>
      </c>
      <c r="E63" s="305">
        <f t="shared" si="25"/>
        <v>0</v>
      </c>
      <c r="F63" s="305">
        <f t="shared" si="25"/>
        <v>0</v>
      </c>
      <c r="G63" s="305">
        <f t="shared" si="25"/>
        <v>0</v>
      </c>
      <c r="H63" s="305">
        <f t="shared" si="25"/>
        <v>0</v>
      </c>
      <c r="I63" s="305">
        <f t="shared" si="25"/>
        <v>0</v>
      </c>
      <c r="J63" s="305">
        <f t="shared" si="25"/>
        <v>0</v>
      </c>
      <c r="K63" s="305">
        <f t="shared" si="25"/>
        <v>0</v>
      </c>
      <c r="L63" s="305">
        <f t="shared" si="25"/>
        <v>0</v>
      </c>
      <c r="M63" s="305">
        <f t="shared" si="25"/>
        <v>0</v>
      </c>
      <c r="N63" s="305">
        <f t="shared" si="25"/>
        <v>0</v>
      </c>
      <c r="O63" s="305">
        <f t="shared" si="24"/>
        <v>0</v>
      </c>
    </row>
    <row r="64" spans="1:22" x14ac:dyDescent="0.3">
      <c r="A64" s="301"/>
      <c r="B64" s="301"/>
      <c r="D64" s="302"/>
      <c r="E64" s="338"/>
      <c r="F64" s="338"/>
      <c r="G64" s="338"/>
      <c r="H64" s="338"/>
      <c r="I64" s="338"/>
      <c r="J64" s="338"/>
      <c r="K64" s="338"/>
      <c r="L64" s="338"/>
      <c r="M64" s="338"/>
      <c r="N64" s="338"/>
      <c r="O64" s="338"/>
    </row>
    <row r="65" spans="1:16" x14ac:dyDescent="0.3">
      <c r="A65" s="301"/>
      <c r="B65" s="301"/>
      <c r="D65" s="304" t="s">
        <v>227</v>
      </c>
      <c r="E65" s="305">
        <f>SUM(E66:E69)</f>
        <v>6545000</v>
      </c>
      <c r="F65" s="305">
        <f t="shared" ref="F65:N65" si="26">SUM(F66:F69)</f>
        <v>6545000</v>
      </c>
      <c r="G65" s="305">
        <f t="shared" si="26"/>
        <v>0</v>
      </c>
      <c r="H65" s="305">
        <f t="shared" si="26"/>
        <v>0</v>
      </c>
      <c r="I65" s="305">
        <f t="shared" si="26"/>
        <v>0</v>
      </c>
      <c r="J65" s="305">
        <f t="shared" si="26"/>
        <v>0</v>
      </c>
      <c r="K65" s="305">
        <f t="shared" si="26"/>
        <v>0</v>
      </c>
      <c r="L65" s="305">
        <f t="shared" si="26"/>
        <v>0</v>
      </c>
      <c r="M65" s="305">
        <f t="shared" si="26"/>
        <v>0</v>
      </c>
      <c r="N65" s="305">
        <f t="shared" si="26"/>
        <v>0</v>
      </c>
      <c r="O65" s="305">
        <f>SUM(E65:N65)</f>
        <v>13090000</v>
      </c>
    </row>
    <row r="66" spans="1:16" x14ac:dyDescent="0.3">
      <c r="A66" s="301" t="str">
        <f>$G$3&amp;$D$58&amp;D66</f>
        <v>UKTotalDOM</v>
      </c>
      <c r="B66" s="301" t="s">
        <v>213</v>
      </c>
      <c r="D66" s="199" t="s">
        <v>213</v>
      </c>
      <c r="E66" s="305">
        <f>E53+E40+E27</f>
        <v>6545000</v>
      </c>
      <c r="F66" s="305">
        <f t="shared" ref="F66:N66" si="27">F53+F40+F27</f>
        <v>6545000</v>
      </c>
      <c r="G66" s="305">
        <f t="shared" si="27"/>
        <v>0</v>
      </c>
      <c r="H66" s="305">
        <f t="shared" si="27"/>
        <v>0</v>
      </c>
      <c r="I66" s="305">
        <f t="shared" si="27"/>
        <v>0</v>
      </c>
      <c r="J66" s="305">
        <f t="shared" si="27"/>
        <v>0</v>
      </c>
      <c r="K66" s="305">
        <f t="shared" si="27"/>
        <v>0</v>
      </c>
      <c r="L66" s="305">
        <f t="shared" si="27"/>
        <v>0</v>
      </c>
      <c r="M66" s="305">
        <f t="shared" si="27"/>
        <v>0</v>
      </c>
      <c r="N66" s="305">
        <f t="shared" si="27"/>
        <v>0</v>
      </c>
      <c r="O66" s="305">
        <f t="shared" ref="O66:O69" si="28">SUM(E66:N66)</f>
        <v>13090000</v>
      </c>
      <c r="P66" s="312">
        <f>O66/$O$65</f>
        <v>1</v>
      </c>
    </row>
    <row r="67" spans="1:16" x14ac:dyDescent="0.3">
      <c r="A67" s="301" t="str">
        <f>$G$3&amp;$D$58&amp;D67</f>
        <v>UKTotalINTRA EEA</v>
      </c>
      <c r="B67" s="301" t="s">
        <v>184</v>
      </c>
      <c r="D67" s="199" t="s">
        <v>184</v>
      </c>
      <c r="E67" s="305">
        <f t="shared" ref="E67:N69" si="29">E54+E41+E28</f>
        <v>0</v>
      </c>
      <c r="F67" s="305">
        <f t="shared" si="29"/>
        <v>0</v>
      </c>
      <c r="G67" s="305">
        <f t="shared" si="29"/>
        <v>0</v>
      </c>
      <c r="H67" s="305">
        <f t="shared" si="29"/>
        <v>0</v>
      </c>
      <c r="I67" s="305">
        <f t="shared" si="29"/>
        <v>0</v>
      </c>
      <c r="J67" s="305">
        <f t="shared" si="29"/>
        <v>0</v>
      </c>
      <c r="K67" s="305">
        <f t="shared" si="29"/>
        <v>0</v>
      </c>
      <c r="L67" s="305">
        <f t="shared" si="29"/>
        <v>0</v>
      </c>
      <c r="M67" s="305">
        <f t="shared" si="29"/>
        <v>0</v>
      </c>
      <c r="N67" s="305">
        <f t="shared" si="29"/>
        <v>0</v>
      </c>
      <c r="O67" s="305">
        <f t="shared" si="28"/>
        <v>0</v>
      </c>
      <c r="P67" s="312">
        <f t="shared" ref="P67:P69" si="30">O67/$O$65</f>
        <v>0</v>
      </c>
    </row>
    <row r="68" spans="1:16" x14ac:dyDescent="0.3">
      <c r="A68" s="301" t="str">
        <f>$G$3&amp;$D$58&amp;D68</f>
        <v>UKTotalINTRA Non-EEA</v>
      </c>
      <c r="B68" s="301" t="s">
        <v>214</v>
      </c>
      <c r="D68" s="199" t="s">
        <v>214</v>
      </c>
      <c r="E68" s="305">
        <f t="shared" si="29"/>
        <v>0</v>
      </c>
      <c r="F68" s="305">
        <f t="shared" si="29"/>
        <v>0</v>
      </c>
      <c r="G68" s="305">
        <f t="shared" si="29"/>
        <v>0</v>
      </c>
      <c r="H68" s="305">
        <f t="shared" si="29"/>
        <v>0</v>
      </c>
      <c r="I68" s="305">
        <f t="shared" si="29"/>
        <v>0</v>
      </c>
      <c r="J68" s="305">
        <f t="shared" si="29"/>
        <v>0</v>
      </c>
      <c r="K68" s="305">
        <f t="shared" si="29"/>
        <v>0</v>
      </c>
      <c r="L68" s="305">
        <f t="shared" si="29"/>
        <v>0</v>
      </c>
      <c r="M68" s="305">
        <f t="shared" si="29"/>
        <v>0</v>
      </c>
      <c r="N68" s="305">
        <f t="shared" si="29"/>
        <v>0</v>
      </c>
      <c r="O68" s="305">
        <f t="shared" si="28"/>
        <v>0</v>
      </c>
      <c r="P68" s="312">
        <f t="shared" si="30"/>
        <v>0</v>
      </c>
    </row>
    <row r="69" spans="1:16" x14ac:dyDescent="0.3">
      <c r="A69" s="301" t="str">
        <f>$G$3&amp;$D$58&amp;D69</f>
        <v>UKTotalINTER</v>
      </c>
      <c r="B69" s="301" t="s">
        <v>215</v>
      </c>
      <c r="D69" s="199" t="s">
        <v>215</v>
      </c>
      <c r="E69" s="305">
        <f t="shared" si="29"/>
        <v>0</v>
      </c>
      <c r="F69" s="305">
        <f t="shared" si="29"/>
        <v>0</v>
      </c>
      <c r="G69" s="305">
        <f t="shared" si="29"/>
        <v>0</v>
      </c>
      <c r="H69" s="305">
        <f t="shared" si="29"/>
        <v>0</v>
      </c>
      <c r="I69" s="305">
        <f t="shared" si="29"/>
        <v>0</v>
      </c>
      <c r="J69" s="305">
        <f t="shared" si="29"/>
        <v>0</v>
      </c>
      <c r="K69" s="305">
        <f t="shared" si="29"/>
        <v>0</v>
      </c>
      <c r="L69" s="305">
        <f t="shared" si="29"/>
        <v>0</v>
      </c>
      <c r="M69" s="305">
        <f t="shared" si="29"/>
        <v>0</v>
      </c>
      <c r="N69" s="305">
        <f t="shared" si="29"/>
        <v>0</v>
      </c>
      <c r="O69" s="305">
        <f t="shared" si="28"/>
        <v>0</v>
      </c>
      <c r="P69" s="312">
        <f t="shared" si="30"/>
        <v>0</v>
      </c>
    </row>
    <row r="78" spans="1:16" hidden="1" outlineLevel="1" x14ac:dyDescent="0.3">
      <c r="E78" s="339" t="s">
        <v>228</v>
      </c>
      <c r="F78" s="339" t="s">
        <v>229</v>
      </c>
      <c r="G78" s="78" t="s">
        <v>204</v>
      </c>
      <c r="H78" s="78" t="s">
        <v>204</v>
      </c>
    </row>
    <row r="79" spans="1:16" hidden="1" outlineLevel="1" x14ac:dyDescent="0.3">
      <c r="E79" s="340">
        <v>44562</v>
      </c>
      <c r="F79" s="340">
        <v>44926</v>
      </c>
      <c r="G79" s="78" t="s">
        <v>230</v>
      </c>
      <c r="H79" s="78" t="s">
        <v>231</v>
      </c>
    </row>
    <row r="80" spans="1:16" hidden="1" outlineLevel="1" x14ac:dyDescent="0.3">
      <c r="E80" s="340">
        <v>44652</v>
      </c>
      <c r="F80" s="340">
        <v>45016</v>
      </c>
      <c r="G80" s="78" t="s">
        <v>199</v>
      </c>
      <c r="H80" s="78" t="s">
        <v>232</v>
      </c>
    </row>
    <row r="81" spans="5:8" hidden="1" outlineLevel="1" x14ac:dyDescent="0.3">
      <c r="E81" s="340">
        <v>44743</v>
      </c>
      <c r="F81" s="340">
        <v>45107</v>
      </c>
    </row>
    <row r="82" spans="5:8" hidden="1" outlineLevel="1" x14ac:dyDescent="0.3">
      <c r="E82" s="340">
        <v>44835</v>
      </c>
      <c r="F82" s="340">
        <v>45199</v>
      </c>
      <c r="G82" s="78" t="s">
        <v>204</v>
      </c>
      <c r="H82" s="78" t="s">
        <v>204</v>
      </c>
    </row>
    <row r="83" spans="5:8" hidden="1" outlineLevel="1" x14ac:dyDescent="0.3">
      <c r="E83" s="340">
        <v>44927</v>
      </c>
      <c r="F83" s="340">
        <v>45291</v>
      </c>
      <c r="G83" s="78" t="s">
        <v>233</v>
      </c>
      <c r="H83" s="78" t="s">
        <v>234</v>
      </c>
    </row>
    <row r="84" spans="5:8" hidden="1" outlineLevel="1" x14ac:dyDescent="0.3">
      <c r="E84" s="340">
        <v>45017</v>
      </c>
      <c r="F84" s="340">
        <v>45382</v>
      </c>
    </row>
    <row r="85" spans="5:8" hidden="1" outlineLevel="1" x14ac:dyDescent="0.3">
      <c r="E85" s="340">
        <v>45108</v>
      </c>
      <c r="F85" s="340">
        <v>45473</v>
      </c>
    </row>
    <row r="86" spans="5:8" hidden="1" outlineLevel="1" x14ac:dyDescent="0.3">
      <c r="E86" s="340">
        <v>45200</v>
      </c>
      <c r="F86" s="340">
        <v>45565</v>
      </c>
    </row>
    <row r="87" spans="5:8" hidden="1" outlineLevel="1" x14ac:dyDescent="0.3">
      <c r="E87" s="340">
        <v>45292</v>
      </c>
      <c r="F87" s="340">
        <v>45657</v>
      </c>
    </row>
    <row r="88" spans="5:8" hidden="1" outlineLevel="1" x14ac:dyDescent="0.3">
      <c r="E88" s="340">
        <v>45383</v>
      </c>
      <c r="F88" s="340">
        <v>45747</v>
      </c>
    </row>
    <row r="89" spans="5:8" hidden="1" outlineLevel="1" x14ac:dyDescent="0.3">
      <c r="E89" s="340">
        <v>45474</v>
      </c>
      <c r="F89" s="340">
        <v>45838</v>
      </c>
    </row>
    <row r="90" spans="5:8" hidden="1" outlineLevel="1" x14ac:dyDescent="0.3">
      <c r="E90" s="340">
        <v>45566</v>
      </c>
      <c r="F90" s="340">
        <v>45930</v>
      </c>
    </row>
    <row r="91" spans="5:8" hidden="1" outlineLevel="1" x14ac:dyDescent="0.3">
      <c r="E91" s="340">
        <v>45658</v>
      </c>
      <c r="F91" s="340">
        <v>46022</v>
      </c>
    </row>
    <row r="92" spans="5:8" hidden="1" outlineLevel="1" x14ac:dyDescent="0.3">
      <c r="E92" s="340">
        <v>45748</v>
      </c>
      <c r="F92" s="340">
        <v>46112</v>
      </c>
    </row>
    <row r="93" spans="5:8" hidden="1" outlineLevel="1" x14ac:dyDescent="0.3">
      <c r="E93" s="340">
        <v>45839</v>
      </c>
      <c r="F93" s="340">
        <v>46203</v>
      </c>
    </row>
    <row r="94" spans="5:8" hidden="1" outlineLevel="1" x14ac:dyDescent="0.3">
      <c r="E94" s="340">
        <v>45931</v>
      </c>
      <c r="F94" s="340">
        <v>46295</v>
      </c>
    </row>
    <row r="95" spans="5:8" hidden="1" outlineLevel="1" x14ac:dyDescent="0.3">
      <c r="E95" s="340">
        <v>46023</v>
      </c>
      <c r="F95" s="340">
        <v>46387</v>
      </c>
    </row>
    <row r="96" spans="5:8" hidden="1" outlineLevel="1" x14ac:dyDescent="0.3">
      <c r="E96" s="340">
        <v>46113</v>
      </c>
      <c r="F96" s="340">
        <v>46477</v>
      </c>
    </row>
    <row r="97" spans="5:6" hidden="1" outlineLevel="1" x14ac:dyDescent="0.3">
      <c r="E97" s="340">
        <v>46204</v>
      </c>
      <c r="F97" s="340">
        <v>46568</v>
      </c>
    </row>
    <row r="98" spans="5:6" hidden="1" outlineLevel="1" x14ac:dyDescent="0.3">
      <c r="E98" s="340">
        <v>46296</v>
      </c>
      <c r="F98" s="340">
        <v>46660</v>
      </c>
    </row>
    <row r="99" spans="5:6" hidden="1" outlineLevel="1" x14ac:dyDescent="0.3">
      <c r="E99" s="340">
        <v>46388</v>
      </c>
      <c r="F99" s="340">
        <v>46752</v>
      </c>
    </row>
    <row r="100" spans="5:6" hidden="1" outlineLevel="1" x14ac:dyDescent="0.3">
      <c r="E100" s="340">
        <v>46478</v>
      </c>
      <c r="F100" s="340">
        <v>46843</v>
      </c>
    </row>
    <row r="101" spans="5:6" hidden="1" outlineLevel="1" x14ac:dyDescent="0.3">
      <c r="E101" s="340">
        <v>46569</v>
      </c>
      <c r="F101" s="340">
        <v>46934</v>
      </c>
    </row>
    <row r="102" spans="5:6" hidden="1" outlineLevel="1" x14ac:dyDescent="0.3">
      <c r="E102" s="340">
        <v>46661</v>
      </c>
      <c r="F102" s="340">
        <v>47026</v>
      </c>
    </row>
    <row r="103" spans="5:6" hidden="1" outlineLevel="1" x14ac:dyDescent="0.3">
      <c r="E103" s="340">
        <v>46753</v>
      </c>
      <c r="F103" s="340">
        <v>47118</v>
      </c>
    </row>
    <row r="104" spans="5:6" hidden="1" outlineLevel="1" x14ac:dyDescent="0.3">
      <c r="E104" s="340">
        <v>46844</v>
      </c>
      <c r="F104" s="340">
        <v>47208</v>
      </c>
    </row>
    <row r="105" spans="5:6" hidden="1" outlineLevel="1" x14ac:dyDescent="0.3">
      <c r="E105" s="340">
        <v>46935</v>
      </c>
      <c r="F105" s="340">
        <v>47299</v>
      </c>
    </row>
    <row r="106" spans="5:6" hidden="1" outlineLevel="1" x14ac:dyDescent="0.3">
      <c r="E106" s="340">
        <v>47027</v>
      </c>
      <c r="F106" s="340">
        <v>47391</v>
      </c>
    </row>
    <row r="107" spans="5:6" hidden="1" outlineLevel="1" x14ac:dyDescent="0.3">
      <c r="E107" s="340">
        <v>47119</v>
      </c>
      <c r="F107" s="340">
        <v>47483</v>
      </c>
    </row>
    <row r="108" spans="5:6" hidden="1" outlineLevel="1" x14ac:dyDescent="0.3">
      <c r="E108" s="340">
        <v>47209</v>
      </c>
      <c r="F108" s="340">
        <v>47573</v>
      </c>
    </row>
    <row r="109" spans="5:6" hidden="1" outlineLevel="1" x14ac:dyDescent="0.3">
      <c r="E109" s="340">
        <v>47300</v>
      </c>
      <c r="F109" s="340">
        <v>47664</v>
      </c>
    </row>
    <row r="110" spans="5:6" hidden="1" outlineLevel="1" x14ac:dyDescent="0.3">
      <c r="E110" s="340">
        <v>47392</v>
      </c>
      <c r="F110" s="340">
        <v>47756</v>
      </c>
    </row>
    <row r="111" spans="5:6" hidden="1" outlineLevel="1" x14ac:dyDescent="0.3">
      <c r="E111" s="340">
        <v>47484</v>
      </c>
      <c r="F111" s="340">
        <v>47848</v>
      </c>
    </row>
    <row r="112" spans="5:6" hidden="1" outlineLevel="1" x14ac:dyDescent="0.3">
      <c r="E112" s="340">
        <v>47574</v>
      </c>
      <c r="F112" s="340">
        <v>47938</v>
      </c>
    </row>
    <row r="113" spans="5:6" hidden="1" outlineLevel="1" x14ac:dyDescent="0.3">
      <c r="E113" s="340">
        <v>47665</v>
      </c>
      <c r="F113" s="340">
        <v>48029</v>
      </c>
    </row>
    <row r="114" spans="5:6" hidden="1" outlineLevel="1" x14ac:dyDescent="0.3">
      <c r="E114" s="340">
        <v>47757</v>
      </c>
      <c r="F114" s="340">
        <v>48121</v>
      </c>
    </row>
    <row r="115" spans="5:6" hidden="1" outlineLevel="1" x14ac:dyDescent="0.3">
      <c r="E115" s="340">
        <v>47849</v>
      </c>
      <c r="F115" s="340">
        <v>48213</v>
      </c>
    </row>
    <row r="116" spans="5:6" hidden="1" outlineLevel="1" x14ac:dyDescent="0.3">
      <c r="E116" s="340">
        <v>47939</v>
      </c>
      <c r="F116" s="340">
        <v>48304</v>
      </c>
    </row>
    <row r="117" spans="5:6" hidden="1" outlineLevel="1" x14ac:dyDescent="0.3">
      <c r="E117" s="340">
        <v>48030</v>
      </c>
      <c r="F117" s="340">
        <v>48395</v>
      </c>
    </row>
    <row r="118" spans="5:6" hidden="1" outlineLevel="1" x14ac:dyDescent="0.3">
      <c r="E118" s="340">
        <v>48122</v>
      </c>
      <c r="F118" s="340">
        <v>48487</v>
      </c>
    </row>
    <row r="119" spans="5:6" hidden="1" outlineLevel="1" x14ac:dyDescent="0.3">
      <c r="E119" s="340">
        <v>48214</v>
      </c>
      <c r="F119" s="340">
        <v>48579</v>
      </c>
    </row>
    <row r="120" spans="5:6" hidden="1" outlineLevel="1" x14ac:dyDescent="0.3">
      <c r="E120" s="340">
        <v>48305</v>
      </c>
      <c r="F120" s="340">
        <v>48669</v>
      </c>
    </row>
    <row r="121" spans="5:6" hidden="1" outlineLevel="1" x14ac:dyDescent="0.3">
      <c r="E121" s="340">
        <v>48396</v>
      </c>
      <c r="F121" s="340">
        <v>48760</v>
      </c>
    </row>
    <row r="122" spans="5:6" hidden="1" outlineLevel="1" x14ac:dyDescent="0.3">
      <c r="E122" s="340">
        <v>48488</v>
      </c>
      <c r="F122" s="340">
        <v>48852</v>
      </c>
    </row>
    <row r="123" spans="5:6" hidden="1" outlineLevel="1" x14ac:dyDescent="0.3">
      <c r="E123" s="35"/>
      <c r="F123" s="340">
        <v>48944</v>
      </c>
    </row>
    <row r="124" spans="5:6" hidden="1" outlineLevel="1" x14ac:dyDescent="0.3">
      <c r="E124" s="35"/>
      <c r="F124" s="340">
        <v>49034</v>
      </c>
    </row>
    <row r="125" spans="5:6" hidden="1" outlineLevel="1" x14ac:dyDescent="0.3">
      <c r="E125" s="35"/>
      <c r="F125" s="340">
        <v>49125</v>
      </c>
    </row>
    <row r="126" spans="5:6" hidden="1" outlineLevel="1" x14ac:dyDescent="0.3">
      <c r="E126" s="35"/>
      <c r="F126" s="340">
        <v>49217</v>
      </c>
    </row>
    <row r="127" spans="5:6" hidden="1" outlineLevel="1" x14ac:dyDescent="0.3">
      <c r="E127" s="341"/>
      <c r="F127" s="340">
        <v>49309</v>
      </c>
    </row>
    <row r="128" spans="5:6" hidden="1" outlineLevel="1" x14ac:dyDescent="0.3">
      <c r="E128" s="341"/>
      <c r="F128" s="340">
        <v>49399</v>
      </c>
    </row>
    <row r="129" spans="5:6" hidden="1" outlineLevel="1" x14ac:dyDescent="0.3">
      <c r="E129" s="341"/>
      <c r="F129" s="340">
        <v>49490</v>
      </c>
    </row>
    <row r="130" spans="5:6" hidden="1" outlineLevel="1" x14ac:dyDescent="0.3">
      <c r="E130" s="341"/>
      <c r="F130" s="340">
        <v>49582</v>
      </c>
    </row>
    <row r="131" spans="5:6" hidden="1" outlineLevel="1" x14ac:dyDescent="0.3">
      <c r="E131" s="341"/>
      <c r="F131" s="340">
        <v>49674</v>
      </c>
    </row>
    <row r="132" spans="5:6" hidden="1" outlineLevel="1" x14ac:dyDescent="0.3">
      <c r="E132" s="341"/>
      <c r="F132" s="340">
        <v>49765</v>
      </c>
    </row>
    <row r="133" spans="5:6" hidden="1" outlineLevel="1" x14ac:dyDescent="0.3">
      <c r="E133" s="341"/>
      <c r="F133" s="340">
        <v>49856</v>
      </c>
    </row>
    <row r="134" spans="5:6" hidden="1" outlineLevel="1" x14ac:dyDescent="0.3">
      <c r="E134" s="341"/>
      <c r="F134" s="340">
        <v>49948</v>
      </c>
    </row>
    <row r="135" spans="5:6" hidden="1" outlineLevel="1" x14ac:dyDescent="0.3">
      <c r="E135" s="341"/>
      <c r="F135" s="340">
        <v>50040</v>
      </c>
    </row>
    <row r="136" spans="5:6" hidden="1" outlineLevel="1" x14ac:dyDescent="0.3">
      <c r="E136" s="341"/>
      <c r="F136" s="340">
        <v>50130</v>
      </c>
    </row>
    <row r="137" spans="5:6" hidden="1" outlineLevel="1" x14ac:dyDescent="0.3">
      <c r="E137" s="341"/>
      <c r="F137" s="340">
        <v>50221</v>
      </c>
    </row>
    <row r="138" spans="5:6" hidden="1" outlineLevel="1" x14ac:dyDescent="0.3">
      <c r="E138" s="341"/>
      <c r="F138" s="340">
        <v>50313</v>
      </c>
    </row>
    <row r="139" spans="5:6" hidden="1" outlineLevel="1" x14ac:dyDescent="0.3">
      <c r="E139" s="35"/>
      <c r="F139" s="340">
        <v>50405</v>
      </c>
    </row>
    <row r="140" spans="5:6" hidden="1" outlineLevel="1" x14ac:dyDescent="0.3">
      <c r="E140" s="35"/>
      <c r="F140" s="340">
        <v>50495</v>
      </c>
    </row>
    <row r="141" spans="5:6" hidden="1" outlineLevel="1" x14ac:dyDescent="0.3">
      <c r="E141" s="35"/>
      <c r="F141" s="340">
        <v>50586</v>
      </c>
    </row>
    <row r="142" spans="5:6" hidden="1" outlineLevel="1" x14ac:dyDescent="0.3">
      <c r="E142" s="35"/>
      <c r="F142" s="340">
        <v>50678</v>
      </c>
    </row>
    <row r="143" spans="5:6" hidden="1" outlineLevel="1" x14ac:dyDescent="0.3">
      <c r="E143" s="35"/>
      <c r="F143" s="340">
        <v>50770</v>
      </c>
    </row>
    <row r="144" spans="5:6" collapsed="1" x14ac:dyDescent="0.3"/>
  </sheetData>
  <mergeCells count="20">
    <mergeCell ref="R38:S39"/>
    <mergeCell ref="T38:T39"/>
    <mergeCell ref="U38:U39"/>
    <mergeCell ref="R51:S52"/>
    <mergeCell ref="T51:T52"/>
    <mergeCell ref="U51:U52"/>
    <mergeCell ref="A17:B18"/>
    <mergeCell ref="D17:O17"/>
    <mergeCell ref="Q17:S17"/>
    <mergeCell ref="R25:S26"/>
    <mergeCell ref="T25:T26"/>
    <mergeCell ref="U25:U26"/>
    <mergeCell ref="D1:E5"/>
    <mergeCell ref="F1:I2"/>
    <mergeCell ref="J1:M2"/>
    <mergeCell ref="N1:N2"/>
    <mergeCell ref="O1:O2"/>
    <mergeCell ref="R1:S13"/>
    <mergeCell ref="D7:D8"/>
    <mergeCell ref="E7:G7"/>
  </mergeCells>
  <conditionalFormatting sqref="E40:N43">
    <cfRule type="expression" dxfId="11" priority="6">
      <formula>E$18=1</formula>
    </cfRule>
  </conditionalFormatting>
  <conditionalFormatting sqref="E53:N56">
    <cfRule type="expression" dxfId="10" priority="4">
      <formula>E$18=1</formula>
    </cfRule>
  </conditionalFormatting>
  <conditionalFormatting sqref="E27:O30">
    <cfRule type="expression" dxfId="9" priority="9">
      <formula>E$18=0</formula>
    </cfRule>
    <cfRule type="expression" dxfId="8" priority="10">
      <formula>E$18=1</formula>
    </cfRule>
  </conditionalFormatting>
  <conditionalFormatting sqref="E40:O43">
    <cfRule type="expression" dxfId="7" priority="5">
      <formula>E$18=0</formula>
    </cfRule>
  </conditionalFormatting>
  <conditionalFormatting sqref="E53:O56">
    <cfRule type="expression" dxfId="6" priority="3">
      <formula>E$18=0</formula>
    </cfRule>
  </conditionalFormatting>
  <conditionalFormatting sqref="O40:O43">
    <cfRule type="expression" dxfId="5" priority="8">
      <formula>O$18=1</formula>
    </cfRule>
  </conditionalFormatting>
  <conditionalFormatting sqref="O53:O56">
    <cfRule type="expression" dxfId="4" priority="7">
      <formula>O$18=1</formula>
    </cfRule>
  </conditionalFormatting>
  <conditionalFormatting sqref="O66:P69">
    <cfRule type="expression" dxfId="3" priority="11">
      <formula>O$18=0</formula>
    </cfRule>
    <cfRule type="expression" dxfId="2" priority="12">
      <formula>O$18=1</formula>
    </cfRule>
  </conditionalFormatting>
  <conditionalFormatting sqref="I4">
    <cfRule type="expression" dxfId="1" priority="2">
      <formula>$I$4=""</formula>
    </cfRule>
  </conditionalFormatting>
  <conditionalFormatting sqref="I5">
    <cfRule type="expression" dxfId="0" priority="1">
      <formula>$I$5=""</formula>
    </cfRule>
  </conditionalFormatting>
  <dataValidations count="5">
    <dataValidation type="list" allowBlank="1" showInputMessage="1" showErrorMessage="1" sqref="T53:U56" xr:uid="{9E4F02CF-2883-4B03-AD1F-7F4D721C5B5B}">
      <formula1>AFT</formula1>
    </dataValidation>
    <dataValidation type="list" allowBlank="1" showInputMessage="1" showErrorMessage="1" sqref="T27:U30 T40:U43" xr:uid="{24F34227-B01B-42FE-9AF7-E180E79C19F9}">
      <formula1>OCT</formula1>
    </dataValidation>
    <dataValidation type="list" allowBlank="1" showInputMessage="1" showErrorMessage="1" sqref="I5" xr:uid="{C5F18064-91DE-4EB7-BE40-46B8C59AF4BC}">
      <formula1>"Rack,SAFP"</formula1>
    </dataValidation>
    <dataValidation type="list" allowBlank="1" showInputMessage="1" showErrorMessage="1" sqref="I4" xr:uid="{5EFF21DC-809F-48DE-9869-2E72D73448C4}">
      <formula1>"Rack,MLP T1,MLP T2"</formula1>
    </dataValidation>
    <dataValidation type="list" allowBlank="1" showInputMessage="1" showErrorMessage="1" sqref="D6" xr:uid="{79617801-794A-480F-918C-00BE0CCBC032}">
      <formula1>"EEA, NonEEA"</formula1>
    </dataValidation>
  </dataValidation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Intro</vt:lpstr>
      <vt:lpstr>P&amp;L</vt:lpstr>
      <vt:lpstr>Inputs</vt:lpstr>
      <vt:lpstr>Incentive_Options</vt:lpstr>
      <vt:lpstr>Intro!Print_Area</vt:lpstr>
      <vt:lpstr>'P&amp;L'!Print_Area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Ganpatlal, Pankaj</dc:creator>
  <cp:lastModifiedBy>Ganpatlal, Pankaj</cp:lastModifiedBy>
  <dcterms:created xsi:type="dcterms:W3CDTF">2026-03-24T13:28:57Z</dcterms:created>
  <dcterms:modified xsi:type="dcterms:W3CDTF">2026-03-24T13:29:28Z</dcterms:modified>
</cp:coreProperties>
</file>